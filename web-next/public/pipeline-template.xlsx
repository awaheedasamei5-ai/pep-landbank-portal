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MAY DOCS'26\"/>
    </mc:Choice>
  </mc:AlternateContent>
  <xr:revisionPtr revIDLastSave="0" documentId="13_ncr:1_{3458EC28-3D42-4464-A320-A94008D3F082}" xr6:coauthVersionLast="47" xr6:coauthVersionMax="47" xr10:uidLastSave="{00000000-0000-0000-0000-000000000000}"/>
  <bookViews>
    <workbookView xWindow="-110" yWindow="-110" windowWidth="19420" windowHeight="10300" activeTab="3" xr2:uid="{00000000-000D-0000-FFFF-FFFF00000000}"/>
  </bookViews>
  <sheets>
    <sheet name="💼 Pipeline" sheetId="1" r:id="rId1"/>
    <sheet name="📊 Dashboard" sheetId="2" r:id="rId2"/>
    <sheet name="🎯 Monthly Close" sheetId="3" r:id="rId3"/>
    <sheet name="📝 Activity Log" sheetId="4" r:id="rId4"/>
    <sheet name="📈 Trend" sheetId="5" r:id="rId5"/>
    <sheet name="⚙️ Config" sheetId="6" r:id="rId6"/>
  </sheets>
  <definedNames>
    <definedName name="_xlnm._FilterDatabase" localSheetId="0" hidden="1">'💼 Pipeline'!$A$7:$T$92</definedName>
    <definedName name="_xlnm._FilterDatabase" localSheetId="3" hidden="1">'📝 Activity Log'!$A$6:$L$6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N16" i="1" l="1"/>
  <c r="R16" i="1" s="1"/>
  <c r="N15" i="1"/>
  <c r="M8" i="1"/>
  <c r="A30" i="1" l="1"/>
  <c r="D7" i="6"/>
  <c r="D6" i="6"/>
  <c r="F10" i="5"/>
  <c r="D10" i="5"/>
  <c r="G9" i="5"/>
  <c r="F9" i="5"/>
  <c r="D9" i="5"/>
  <c r="A213" i="4"/>
  <c r="A212" i="4"/>
  <c r="A211" i="4"/>
  <c r="A210" i="4"/>
  <c r="A209" i="4"/>
  <c r="A208" i="4"/>
  <c r="A207" i="4"/>
  <c r="A206" i="4"/>
  <c r="A205" i="4"/>
  <c r="A204" i="4"/>
  <c r="A203" i="4"/>
  <c r="A202" i="4"/>
  <c r="A201" i="4"/>
  <c r="A200" i="4"/>
  <c r="A199" i="4"/>
  <c r="A198" i="4"/>
  <c r="A197" i="4"/>
  <c r="A196" i="4"/>
  <c r="A195" i="4"/>
  <c r="A194" i="4"/>
  <c r="A193" i="4"/>
  <c r="A192" i="4"/>
  <c r="A191" i="4"/>
  <c r="A190" i="4"/>
  <c r="A189" i="4"/>
  <c r="A188" i="4"/>
  <c r="A187" i="4"/>
  <c r="A186"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K5" i="4"/>
  <c r="I5" i="4"/>
  <c r="G5" i="4"/>
  <c r="E5" i="4"/>
  <c r="C5" i="4"/>
  <c r="A5" i="4"/>
  <c r="H64" i="3"/>
  <c r="G64" i="3"/>
  <c r="F64" i="3"/>
  <c r="E64" i="3"/>
  <c r="D64" i="3"/>
  <c r="C64" i="3"/>
  <c r="A64" i="3"/>
  <c r="H63" i="3"/>
  <c r="G63" i="3"/>
  <c r="F63" i="3"/>
  <c r="E63" i="3"/>
  <c r="D63" i="3"/>
  <c r="C63" i="3"/>
  <c r="A63" i="3"/>
  <c r="H62" i="3"/>
  <c r="G62" i="3"/>
  <c r="F62" i="3"/>
  <c r="E62" i="3"/>
  <c r="D62" i="3"/>
  <c r="C62" i="3"/>
  <c r="A62" i="3"/>
  <c r="H61" i="3"/>
  <c r="G61" i="3"/>
  <c r="F61" i="3"/>
  <c r="E61" i="3"/>
  <c r="D61" i="3"/>
  <c r="C61" i="3"/>
  <c r="A61" i="3"/>
  <c r="H60" i="3"/>
  <c r="G60" i="3"/>
  <c r="F60" i="3"/>
  <c r="E60" i="3"/>
  <c r="D60" i="3"/>
  <c r="C60" i="3"/>
  <c r="A60" i="3"/>
  <c r="H59" i="3"/>
  <c r="G59" i="3"/>
  <c r="F59" i="3"/>
  <c r="E59" i="3"/>
  <c r="D59" i="3"/>
  <c r="C59" i="3"/>
  <c r="A59" i="3"/>
  <c r="H58" i="3"/>
  <c r="G58" i="3"/>
  <c r="F58" i="3"/>
  <c r="E58" i="3"/>
  <c r="D58" i="3"/>
  <c r="C58" i="3"/>
  <c r="A58" i="3"/>
  <c r="H57" i="3"/>
  <c r="G57" i="3"/>
  <c r="F57" i="3"/>
  <c r="E57" i="3"/>
  <c r="D57" i="3"/>
  <c r="C57" i="3"/>
  <c r="A57" i="3"/>
  <c r="H56" i="3"/>
  <c r="G56" i="3"/>
  <c r="F56" i="3"/>
  <c r="E56" i="3"/>
  <c r="D56" i="3"/>
  <c r="C56" i="3"/>
  <c r="A56" i="3"/>
  <c r="H55" i="3"/>
  <c r="G55" i="3"/>
  <c r="F55" i="3"/>
  <c r="E55" i="3"/>
  <c r="D55" i="3"/>
  <c r="C55" i="3"/>
  <c r="A55" i="3"/>
  <c r="H54" i="3"/>
  <c r="G54" i="3"/>
  <c r="F54" i="3"/>
  <c r="E54" i="3"/>
  <c r="D54" i="3"/>
  <c r="C54" i="3"/>
  <c r="A54" i="3"/>
  <c r="H53" i="3"/>
  <c r="G53" i="3"/>
  <c r="F53" i="3"/>
  <c r="E53" i="3"/>
  <c r="D53" i="3"/>
  <c r="C53" i="3"/>
  <c r="A53" i="3"/>
  <c r="H52" i="3"/>
  <c r="G52" i="3"/>
  <c r="F52" i="3"/>
  <c r="E52" i="3"/>
  <c r="D52" i="3"/>
  <c r="C52" i="3"/>
  <c r="A52" i="3"/>
  <c r="H51" i="3"/>
  <c r="G51" i="3"/>
  <c r="F51" i="3"/>
  <c r="E51" i="3"/>
  <c r="D51" i="3"/>
  <c r="C51" i="3"/>
  <c r="A51" i="3"/>
  <c r="H50" i="3"/>
  <c r="G50" i="3"/>
  <c r="F50" i="3"/>
  <c r="E50" i="3"/>
  <c r="D50" i="3"/>
  <c r="C50" i="3"/>
  <c r="A50" i="3"/>
  <c r="E48" i="3"/>
  <c r="C48" i="3"/>
  <c r="A48" i="3"/>
  <c r="H43" i="3"/>
  <c r="G43" i="3"/>
  <c r="F43" i="3"/>
  <c r="E43" i="3"/>
  <c r="D43" i="3"/>
  <c r="C43" i="3"/>
  <c r="A43" i="3"/>
  <c r="H42" i="3"/>
  <c r="G42" i="3"/>
  <c r="F42" i="3"/>
  <c r="E42" i="3"/>
  <c r="D42" i="3"/>
  <c r="C42" i="3"/>
  <c r="A42" i="3"/>
  <c r="H41" i="3"/>
  <c r="G41" i="3"/>
  <c r="F41" i="3"/>
  <c r="E41" i="3"/>
  <c r="D41" i="3"/>
  <c r="C41" i="3"/>
  <c r="A41" i="3"/>
  <c r="H40" i="3"/>
  <c r="G40" i="3"/>
  <c r="F40" i="3"/>
  <c r="E40" i="3"/>
  <c r="D40" i="3"/>
  <c r="C40" i="3"/>
  <c r="A40" i="3"/>
  <c r="H39" i="3"/>
  <c r="G39" i="3"/>
  <c r="F39" i="3"/>
  <c r="E39" i="3"/>
  <c r="D39" i="3"/>
  <c r="C39" i="3"/>
  <c r="A39" i="3"/>
  <c r="H38" i="3"/>
  <c r="G38" i="3"/>
  <c r="F38" i="3"/>
  <c r="E38" i="3"/>
  <c r="D38" i="3"/>
  <c r="C38" i="3"/>
  <c r="A38" i="3"/>
  <c r="H37" i="3"/>
  <c r="G37" i="3"/>
  <c r="F37" i="3"/>
  <c r="E37" i="3"/>
  <c r="D37" i="3"/>
  <c r="C37" i="3"/>
  <c r="A37" i="3"/>
  <c r="H36" i="3"/>
  <c r="G36" i="3"/>
  <c r="F36" i="3"/>
  <c r="E36" i="3"/>
  <c r="D36" i="3"/>
  <c r="C36" i="3"/>
  <c r="A36" i="3"/>
  <c r="H35" i="3"/>
  <c r="G35" i="3"/>
  <c r="F35" i="3"/>
  <c r="E35" i="3"/>
  <c r="D35" i="3"/>
  <c r="C35" i="3"/>
  <c r="A35" i="3"/>
  <c r="H34" i="3"/>
  <c r="G34" i="3"/>
  <c r="F34" i="3"/>
  <c r="E34" i="3"/>
  <c r="D34" i="3"/>
  <c r="C34" i="3"/>
  <c r="A34" i="3"/>
  <c r="H33" i="3"/>
  <c r="G33" i="3"/>
  <c r="F33" i="3"/>
  <c r="E33" i="3"/>
  <c r="D33" i="3"/>
  <c r="C33" i="3"/>
  <c r="A33" i="3"/>
  <c r="H32" i="3"/>
  <c r="G32" i="3"/>
  <c r="F32" i="3"/>
  <c r="E32" i="3"/>
  <c r="D32" i="3"/>
  <c r="C32" i="3"/>
  <c r="A32" i="3"/>
  <c r="H31" i="3"/>
  <c r="G31" i="3"/>
  <c r="F31" i="3"/>
  <c r="E31" i="3"/>
  <c r="D31" i="3"/>
  <c r="C31" i="3"/>
  <c r="A31" i="3"/>
  <c r="H30" i="3"/>
  <c r="G30" i="3"/>
  <c r="F30" i="3"/>
  <c r="E30" i="3"/>
  <c r="D30" i="3"/>
  <c r="C30" i="3"/>
  <c r="A30" i="3"/>
  <c r="H29" i="3"/>
  <c r="G29" i="3"/>
  <c r="F29" i="3"/>
  <c r="E29" i="3"/>
  <c r="D29" i="3"/>
  <c r="C29" i="3"/>
  <c r="A29" i="3"/>
  <c r="E27" i="3"/>
  <c r="C27" i="3"/>
  <c r="A27" i="3"/>
  <c r="H22" i="3"/>
  <c r="G22" i="3"/>
  <c r="F22" i="3"/>
  <c r="E22" i="3"/>
  <c r="D22" i="3"/>
  <c r="C22" i="3"/>
  <c r="A22" i="3"/>
  <c r="H21" i="3"/>
  <c r="G21" i="3"/>
  <c r="F21" i="3"/>
  <c r="E21" i="3"/>
  <c r="D21" i="3"/>
  <c r="C21" i="3"/>
  <c r="A21" i="3"/>
  <c r="H20" i="3"/>
  <c r="G20" i="3"/>
  <c r="F20" i="3"/>
  <c r="E20" i="3"/>
  <c r="D20" i="3"/>
  <c r="C20" i="3"/>
  <c r="A20" i="3"/>
  <c r="H19" i="3"/>
  <c r="G19" i="3"/>
  <c r="F19" i="3"/>
  <c r="E19" i="3"/>
  <c r="D19" i="3"/>
  <c r="C19" i="3"/>
  <c r="A19" i="3"/>
  <c r="H18" i="3"/>
  <c r="G18" i="3"/>
  <c r="F18" i="3"/>
  <c r="E18" i="3"/>
  <c r="D18" i="3"/>
  <c r="C18" i="3"/>
  <c r="A18" i="3"/>
  <c r="H17" i="3"/>
  <c r="G17" i="3"/>
  <c r="F17" i="3"/>
  <c r="E17" i="3"/>
  <c r="D17" i="3"/>
  <c r="C17" i="3"/>
  <c r="A17" i="3"/>
  <c r="H16" i="3"/>
  <c r="G16" i="3"/>
  <c r="F16" i="3"/>
  <c r="E16" i="3"/>
  <c r="D16" i="3"/>
  <c r="C16" i="3"/>
  <c r="A16" i="3"/>
  <c r="H15" i="3"/>
  <c r="G15" i="3"/>
  <c r="F15" i="3"/>
  <c r="E15" i="3"/>
  <c r="D15" i="3"/>
  <c r="C15" i="3"/>
  <c r="A15" i="3"/>
  <c r="H14" i="3"/>
  <c r="G14" i="3"/>
  <c r="F14" i="3"/>
  <c r="E14" i="3"/>
  <c r="D14" i="3"/>
  <c r="C14" i="3"/>
  <c r="A14" i="3"/>
  <c r="G13" i="3"/>
  <c r="E13" i="3"/>
  <c r="D13" i="3"/>
  <c r="C13" i="3"/>
  <c r="A13" i="3"/>
  <c r="G12" i="3"/>
  <c r="D12" i="3"/>
  <c r="C12" i="3"/>
  <c r="A12" i="3"/>
  <c r="G11" i="3"/>
  <c r="D11" i="3"/>
  <c r="C11" i="3"/>
  <c r="A11" i="3"/>
  <c r="G10" i="3"/>
  <c r="D10" i="3"/>
  <c r="C10" i="3"/>
  <c r="A10" i="3"/>
  <c r="G9" i="3"/>
  <c r="E9" i="3"/>
  <c r="D9" i="3"/>
  <c r="C9" i="3"/>
  <c r="A9" i="3"/>
  <c r="G8" i="3"/>
  <c r="D8" i="3"/>
  <c r="C8" i="3"/>
  <c r="A8" i="3"/>
  <c r="E6" i="3"/>
  <c r="C6" i="3"/>
  <c r="A6" i="3"/>
  <c r="B31" i="2"/>
  <c r="B29" i="2"/>
  <c r="H26" i="2"/>
  <c r="D26" i="2"/>
  <c r="H25" i="2"/>
  <c r="D25" i="2"/>
  <c r="H24" i="2"/>
  <c r="D24" i="2"/>
  <c r="H20" i="2"/>
  <c r="F20" i="2"/>
  <c r="D20" i="2"/>
  <c r="F19" i="2"/>
  <c r="D19" i="2"/>
  <c r="D18" i="2"/>
  <c r="D17" i="2"/>
  <c r="D16" i="2"/>
  <c r="D15" i="2"/>
  <c r="D14" i="2"/>
  <c r="J9" i="2"/>
  <c r="H9" i="2"/>
  <c r="F9" i="2"/>
  <c r="D9" i="2"/>
  <c r="B9" i="2"/>
  <c r="J5" i="2"/>
  <c r="D5" i="2"/>
  <c r="R91" i="1"/>
  <c r="N91" i="1"/>
  <c r="M91" i="1"/>
  <c r="K91" i="1"/>
  <c r="J91" i="1"/>
  <c r="I91" i="1"/>
  <c r="H91" i="1"/>
  <c r="A91" i="1"/>
  <c r="R90" i="1"/>
  <c r="N90" i="1"/>
  <c r="M90" i="1"/>
  <c r="K90" i="1"/>
  <c r="J90" i="1"/>
  <c r="I90" i="1"/>
  <c r="H90" i="1"/>
  <c r="A90" i="1"/>
  <c r="R89" i="1"/>
  <c r="N89" i="1"/>
  <c r="M89" i="1"/>
  <c r="K89" i="1"/>
  <c r="J89" i="1"/>
  <c r="I89" i="1"/>
  <c r="H89" i="1"/>
  <c r="A89" i="1"/>
  <c r="R88" i="1"/>
  <c r="N88" i="1"/>
  <c r="M88" i="1"/>
  <c r="K88" i="1"/>
  <c r="J88" i="1"/>
  <c r="I88" i="1"/>
  <c r="H88" i="1"/>
  <c r="A88" i="1"/>
  <c r="R87" i="1"/>
  <c r="N87" i="1"/>
  <c r="M87" i="1"/>
  <c r="K87" i="1"/>
  <c r="J87" i="1"/>
  <c r="I87" i="1"/>
  <c r="H87" i="1"/>
  <c r="A87" i="1"/>
  <c r="R86" i="1"/>
  <c r="N86" i="1"/>
  <c r="M86" i="1"/>
  <c r="K86" i="1"/>
  <c r="J86" i="1"/>
  <c r="I86" i="1"/>
  <c r="H86" i="1"/>
  <c r="A86" i="1"/>
  <c r="R85" i="1"/>
  <c r="N85" i="1"/>
  <c r="M85" i="1"/>
  <c r="K85" i="1"/>
  <c r="J85" i="1"/>
  <c r="I85" i="1"/>
  <c r="H85" i="1"/>
  <c r="A85" i="1"/>
  <c r="R84" i="1"/>
  <c r="N84" i="1"/>
  <c r="M84" i="1"/>
  <c r="K84" i="1"/>
  <c r="J84" i="1"/>
  <c r="I84" i="1"/>
  <c r="H84" i="1"/>
  <c r="A84" i="1"/>
  <c r="R83" i="1"/>
  <c r="N83" i="1"/>
  <c r="M83" i="1"/>
  <c r="K83" i="1"/>
  <c r="J83" i="1"/>
  <c r="I83" i="1"/>
  <c r="H83" i="1"/>
  <c r="A83" i="1"/>
  <c r="R82" i="1"/>
  <c r="N82" i="1"/>
  <c r="M82" i="1"/>
  <c r="K82" i="1"/>
  <c r="J82" i="1"/>
  <c r="I82" i="1"/>
  <c r="H82" i="1"/>
  <c r="A82" i="1"/>
  <c r="R81" i="1"/>
  <c r="N81" i="1"/>
  <c r="M81" i="1"/>
  <c r="K81" i="1"/>
  <c r="J81" i="1"/>
  <c r="I81" i="1"/>
  <c r="H81" i="1"/>
  <c r="A81" i="1"/>
  <c r="R80" i="1"/>
  <c r="N80" i="1"/>
  <c r="M80" i="1"/>
  <c r="K80" i="1"/>
  <c r="J80" i="1"/>
  <c r="I80" i="1"/>
  <c r="H80" i="1"/>
  <c r="A80" i="1"/>
  <c r="R79" i="1"/>
  <c r="N79" i="1"/>
  <c r="M79" i="1"/>
  <c r="K79" i="1"/>
  <c r="J79" i="1"/>
  <c r="I79" i="1"/>
  <c r="H79" i="1"/>
  <c r="A79" i="1"/>
  <c r="R78" i="1"/>
  <c r="N78" i="1"/>
  <c r="M78" i="1"/>
  <c r="K78" i="1"/>
  <c r="J78" i="1"/>
  <c r="I78" i="1"/>
  <c r="H78" i="1"/>
  <c r="A78" i="1"/>
  <c r="R77" i="1"/>
  <c r="N77" i="1"/>
  <c r="M77" i="1"/>
  <c r="K77" i="1"/>
  <c r="J77" i="1"/>
  <c r="I77" i="1"/>
  <c r="H77" i="1"/>
  <c r="A77" i="1"/>
  <c r="R76" i="1"/>
  <c r="N76" i="1"/>
  <c r="M76" i="1"/>
  <c r="K76" i="1"/>
  <c r="J76" i="1"/>
  <c r="I76" i="1"/>
  <c r="H76" i="1"/>
  <c r="A76" i="1"/>
  <c r="R75" i="1"/>
  <c r="N75" i="1"/>
  <c r="M75" i="1"/>
  <c r="K75" i="1"/>
  <c r="J75" i="1"/>
  <c r="I75" i="1"/>
  <c r="H75" i="1"/>
  <c r="A75" i="1"/>
  <c r="R74" i="1"/>
  <c r="N74" i="1"/>
  <c r="M74" i="1"/>
  <c r="K74" i="1"/>
  <c r="J74" i="1"/>
  <c r="I74" i="1"/>
  <c r="H74" i="1"/>
  <c r="A74" i="1"/>
  <c r="R73" i="1"/>
  <c r="N73" i="1"/>
  <c r="M73" i="1"/>
  <c r="K73" i="1"/>
  <c r="J73" i="1"/>
  <c r="I73" i="1"/>
  <c r="H73" i="1"/>
  <c r="A73" i="1"/>
  <c r="R72" i="1"/>
  <c r="N72" i="1"/>
  <c r="M72" i="1"/>
  <c r="K72" i="1"/>
  <c r="J72" i="1"/>
  <c r="I72" i="1"/>
  <c r="H72" i="1"/>
  <c r="A72" i="1"/>
  <c r="R71" i="1"/>
  <c r="N71" i="1"/>
  <c r="M71" i="1"/>
  <c r="K71" i="1"/>
  <c r="J71" i="1"/>
  <c r="I71" i="1"/>
  <c r="H71" i="1"/>
  <c r="A71" i="1"/>
  <c r="R70" i="1"/>
  <c r="N70" i="1"/>
  <c r="M70" i="1"/>
  <c r="K70" i="1"/>
  <c r="J70" i="1"/>
  <c r="I70" i="1"/>
  <c r="H70" i="1"/>
  <c r="A70" i="1"/>
  <c r="R69" i="1"/>
  <c r="N69" i="1"/>
  <c r="M69" i="1"/>
  <c r="K69" i="1"/>
  <c r="J69" i="1"/>
  <c r="I69" i="1"/>
  <c r="H69" i="1"/>
  <c r="A69" i="1"/>
  <c r="R68" i="1"/>
  <c r="N68" i="1"/>
  <c r="M68" i="1"/>
  <c r="K68" i="1"/>
  <c r="J68" i="1"/>
  <c r="I68" i="1"/>
  <c r="H68" i="1"/>
  <c r="A68" i="1"/>
  <c r="R67" i="1"/>
  <c r="N67" i="1"/>
  <c r="M67" i="1"/>
  <c r="K67" i="1"/>
  <c r="J67" i="1"/>
  <c r="I67" i="1"/>
  <c r="H67" i="1"/>
  <c r="A67" i="1"/>
  <c r="R66" i="1"/>
  <c r="N66" i="1"/>
  <c r="M66" i="1"/>
  <c r="K66" i="1"/>
  <c r="J66" i="1"/>
  <c r="I66" i="1"/>
  <c r="H66" i="1"/>
  <c r="A66" i="1"/>
  <c r="R65" i="1"/>
  <c r="N65" i="1"/>
  <c r="M65" i="1"/>
  <c r="K65" i="1"/>
  <c r="J65" i="1"/>
  <c r="I65" i="1"/>
  <c r="H65" i="1"/>
  <c r="A65" i="1"/>
  <c r="R64" i="1"/>
  <c r="N64" i="1"/>
  <c r="M64" i="1"/>
  <c r="K64" i="1"/>
  <c r="J64" i="1"/>
  <c r="I64" i="1"/>
  <c r="H64" i="1"/>
  <c r="A64" i="1"/>
  <c r="R63" i="1"/>
  <c r="N63" i="1"/>
  <c r="M63" i="1"/>
  <c r="K63" i="1"/>
  <c r="J63" i="1"/>
  <c r="I63" i="1"/>
  <c r="H63" i="1"/>
  <c r="A63" i="1"/>
  <c r="R62" i="1"/>
  <c r="N62" i="1"/>
  <c r="M62" i="1"/>
  <c r="K62" i="1"/>
  <c r="J62" i="1"/>
  <c r="I62" i="1"/>
  <c r="H62" i="1"/>
  <c r="A62" i="1"/>
  <c r="R61" i="1"/>
  <c r="N61" i="1"/>
  <c r="M61" i="1"/>
  <c r="K61" i="1"/>
  <c r="J61" i="1"/>
  <c r="I61" i="1"/>
  <c r="H61" i="1"/>
  <c r="A61" i="1"/>
  <c r="R60" i="1"/>
  <c r="N60" i="1"/>
  <c r="M60" i="1"/>
  <c r="K60" i="1"/>
  <c r="J60" i="1"/>
  <c r="I60" i="1"/>
  <c r="H60" i="1"/>
  <c r="A60" i="1"/>
  <c r="R59" i="1"/>
  <c r="N59" i="1"/>
  <c r="M59" i="1"/>
  <c r="K59" i="1"/>
  <c r="J59" i="1"/>
  <c r="I59" i="1"/>
  <c r="H59" i="1"/>
  <c r="A59" i="1"/>
  <c r="R58" i="1"/>
  <c r="N58" i="1"/>
  <c r="M58" i="1"/>
  <c r="K58" i="1"/>
  <c r="J58" i="1"/>
  <c r="I58" i="1"/>
  <c r="H58" i="1"/>
  <c r="A58" i="1"/>
  <c r="R57" i="1"/>
  <c r="N57" i="1"/>
  <c r="M57" i="1"/>
  <c r="K57" i="1"/>
  <c r="J57" i="1"/>
  <c r="I57" i="1"/>
  <c r="H57" i="1"/>
  <c r="A57" i="1"/>
  <c r="R56" i="1"/>
  <c r="N56" i="1"/>
  <c r="M56" i="1"/>
  <c r="K56" i="1"/>
  <c r="J56" i="1"/>
  <c r="I56" i="1"/>
  <c r="H56" i="1"/>
  <c r="A56" i="1"/>
  <c r="R55" i="1"/>
  <c r="N55" i="1"/>
  <c r="M55" i="1"/>
  <c r="K55" i="1"/>
  <c r="J55" i="1"/>
  <c r="I55" i="1"/>
  <c r="H55" i="1"/>
  <c r="A55" i="1"/>
  <c r="R54" i="1"/>
  <c r="N54" i="1"/>
  <c r="M54" i="1"/>
  <c r="K54" i="1"/>
  <c r="J54" i="1"/>
  <c r="I54" i="1"/>
  <c r="H54" i="1"/>
  <c r="A54" i="1"/>
  <c r="R53" i="1"/>
  <c r="N53" i="1"/>
  <c r="M53" i="1"/>
  <c r="K53" i="1"/>
  <c r="J53" i="1"/>
  <c r="I53" i="1"/>
  <c r="H53" i="1"/>
  <c r="A53" i="1"/>
  <c r="R52" i="1"/>
  <c r="E10" i="5" s="1"/>
  <c r="N52" i="1"/>
  <c r="B10" i="5" s="1"/>
  <c r="M52" i="1"/>
  <c r="K52" i="1"/>
  <c r="C10" i="5" s="1"/>
  <c r="J52" i="1"/>
  <c r="I52" i="1"/>
  <c r="H52" i="1"/>
  <c r="A52" i="1"/>
  <c r="R50" i="1"/>
  <c r="N50" i="1"/>
  <c r="M50" i="1"/>
  <c r="K50" i="1"/>
  <c r="J50" i="1"/>
  <c r="I50" i="1"/>
  <c r="H50" i="1"/>
  <c r="A50" i="1"/>
  <c r="R49" i="1"/>
  <c r="N49" i="1"/>
  <c r="M49" i="1"/>
  <c r="K49" i="1"/>
  <c r="J49" i="1"/>
  <c r="I49" i="1"/>
  <c r="H49" i="1"/>
  <c r="A49" i="1"/>
  <c r="R48" i="1"/>
  <c r="N48" i="1"/>
  <c r="M48" i="1"/>
  <c r="K48" i="1"/>
  <c r="J48" i="1"/>
  <c r="I48" i="1"/>
  <c r="H48" i="1"/>
  <c r="A48" i="1"/>
  <c r="R47" i="1"/>
  <c r="N47" i="1"/>
  <c r="M47" i="1"/>
  <c r="K47" i="1"/>
  <c r="J47" i="1"/>
  <c r="I47" i="1"/>
  <c r="H47" i="1"/>
  <c r="A47" i="1"/>
  <c r="R46" i="1"/>
  <c r="N46" i="1"/>
  <c r="M46" i="1"/>
  <c r="K46" i="1"/>
  <c r="J46" i="1"/>
  <c r="I46" i="1"/>
  <c r="H46" i="1"/>
  <c r="A46" i="1"/>
  <c r="R45" i="1"/>
  <c r="N45" i="1"/>
  <c r="M45" i="1"/>
  <c r="K45" i="1"/>
  <c r="J45" i="1"/>
  <c r="I45" i="1"/>
  <c r="H45" i="1"/>
  <c r="A45" i="1"/>
  <c r="R44" i="1"/>
  <c r="N44" i="1"/>
  <c r="M44" i="1"/>
  <c r="K44" i="1"/>
  <c r="J44" i="1"/>
  <c r="I44" i="1"/>
  <c r="H44" i="1"/>
  <c r="A44" i="1"/>
  <c r="R43" i="1"/>
  <c r="N43" i="1"/>
  <c r="M43" i="1"/>
  <c r="K43" i="1"/>
  <c r="J43" i="1"/>
  <c r="I43" i="1"/>
  <c r="H43" i="1"/>
  <c r="A43" i="1"/>
  <c r="R42" i="1"/>
  <c r="N42" i="1"/>
  <c r="M42" i="1"/>
  <c r="K42" i="1"/>
  <c r="J42" i="1"/>
  <c r="I42" i="1"/>
  <c r="H42" i="1"/>
  <c r="A42" i="1"/>
  <c r="R41" i="1"/>
  <c r="N41" i="1"/>
  <c r="M41" i="1"/>
  <c r="K41" i="1"/>
  <c r="J41" i="1"/>
  <c r="I41" i="1"/>
  <c r="H41" i="1"/>
  <c r="A41" i="1"/>
  <c r="R40" i="1"/>
  <c r="N40" i="1"/>
  <c r="M40" i="1"/>
  <c r="K40" i="1"/>
  <c r="J40" i="1"/>
  <c r="I40" i="1"/>
  <c r="H40" i="1"/>
  <c r="A40" i="1"/>
  <c r="R39" i="1"/>
  <c r="N39" i="1"/>
  <c r="M39" i="1"/>
  <c r="K39" i="1"/>
  <c r="J39" i="1"/>
  <c r="I39" i="1"/>
  <c r="H39" i="1"/>
  <c r="A39" i="1"/>
  <c r="R38" i="1"/>
  <c r="N38" i="1"/>
  <c r="M38" i="1"/>
  <c r="K38" i="1"/>
  <c r="J38" i="1"/>
  <c r="I38" i="1"/>
  <c r="H38" i="1"/>
  <c r="A38" i="1"/>
  <c r="R37" i="1"/>
  <c r="N37" i="1"/>
  <c r="M37" i="1"/>
  <c r="K37" i="1"/>
  <c r="J37" i="1"/>
  <c r="I37" i="1"/>
  <c r="H37" i="1"/>
  <c r="A37" i="1"/>
  <c r="R36" i="1"/>
  <c r="N36" i="1"/>
  <c r="M36" i="1"/>
  <c r="K36" i="1"/>
  <c r="J36" i="1"/>
  <c r="I36" i="1"/>
  <c r="H36" i="1"/>
  <c r="A36" i="1"/>
  <c r="R35" i="1"/>
  <c r="N35" i="1"/>
  <c r="M35" i="1"/>
  <c r="K35" i="1"/>
  <c r="J35" i="1"/>
  <c r="I35" i="1"/>
  <c r="H35" i="1"/>
  <c r="A35" i="1"/>
  <c r="R34" i="1"/>
  <c r="N34" i="1"/>
  <c r="M34" i="1"/>
  <c r="K34" i="1"/>
  <c r="J34" i="1"/>
  <c r="I34" i="1"/>
  <c r="H34" i="1"/>
  <c r="A34" i="1"/>
  <c r="R33" i="1"/>
  <c r="N33" i="1"/>
  <c r="M33" i="1"/>
  <c r="K33" i="1"/>
  <c r="J33" i="1"/>
  <c r="I33" i="1"/>
  <c r="H33" i="1"/>
  <c r="A33" i="1"/>
  <c r="R32" i="1"/>
  <c r="N32" i="1"/>
  <c r="M32" i="1"/>
  <c r="K32" i="1"/>
  <c r="J32" i="1"/>
  <c r="I32" i="1"/>
  <c r="H32" i="1"/>
  <c r="A32" i="1"/>
  <c r="R31" i="1"/>
  <c r="N31" i="1"/>
  <c r="M31" i="1"/>
  <c r="K31" i="1"/>
  <c r="J31" i="1"/>
  <c r="I31" i="1"/>
  <c r="H31" i="1"/>
  <c r="A31" i="1"/>
  <c r="M30" i="1"/>
  <c r="J30" i="1"/>
  <c r="I30" i="1"/>
  <c r="H30" i="1"/>
  <c r="M28" i="1"/>
  <c r="K28" i="1"/>
  <c r="N28" i="1" s="1"/>
  <c r="R28" i="1" s="1"/>
  <c r="J28" i="1"/>
  <c r="I28" i="1"/>
  <c r="H28" i="1"/>
  <c r="A28" i="1"/>
  <c r="M27" i="1"/>
  <c r="K27" i="1"/>
  <c r="N27" i="1" s="1"/>
  <c r="R27" i="1" s="1"/>
  <c r="J27" i="1"/>
  <c r="I27" i="1"/>
  <c r="H27" i="1"/>
  <c r="A27" i="1"/>
  <c r="M26" i="1"/>
  <c r="K26" i="1"/>
  <c r="N26" i="1" s="1"/>
  <c r="R26" i="1" s="1"/>
  <c r="J26" i="1"/>
  <c r="I26" i="1"/>
  <c r="H26" i="1"/>
  <c r="A26" i="1"/>
  <c r="M25" i="1"/>
  <c r="K25" i="1"/>
  <c r="N25" i="1" s="1"/>
  <c r="R25" i="1" s="1"/>
  <c r="J25" i="1"/>
  <c r="I25" i="1"/>
  <c r="H25" i="1"/>
  <c r="A25" i="1"/>
  <c r="M24" i="1"/>
  <c r="K24" i="1"/>
  <c r="N24" i="1" s="1"/>
  <c r="R24" i="1" s="1"/>
  <c r="J24" i="1"/>
  <c r="I24" i="1"/>
  <c r="H24" i="1"/>
  <c r="A24" i="1"/>
  <c r="M23" i="1"/>
  <c r="K23" i="1"/>
  <c r="N23" i="1" s="1"/>
  <c r="R23" i="1" s="1"/>
  <c r="J23" i="1"/>
  <c r="I23" i="1"/>
  <c r="H23" i="1"/>
  <c r="A23" i="1"/>
  <c r="M22" i="1"/>
  <c r="K22" i="1"/>
  <c r="N22" i="1" s="1"/>
  <c r="R22" i="1" s="1"/>
  <c r="J22" i="1"/>
  <c r="I22" i="1"/>
  <c r="H22" i="1"/>
  <c r="A22" i="1"/>
  <c r="M21" i="1"/>
  <c r="K21" i="1"/>
  <c r="N21" i="1" s="1"/>
  <c r="R21" i="1" s="1"/>
  <c r="J21" i="1"/>
  <c r="I21" i="1"/>
  <c r="H21" i="1"/>
  <c r="A21" i="1"/>
  <c r="M20" i="1"/>
  <c r="K20" i="1"/>
  <c r="F17" i="2" s="1"/>
  <c r="J20" i="1"/>
  <c r="I20" i="1"/>
  <c r="H20" i="1"/>
  <c r="A20" i="1"/>
  <c r="M19" i="1"/>
  <c r="K19" i="1"/>
  <c r="N19" i="1" s="1"/>
  <c r="J19" i="1"/>
  <c r="I19" i="1"/>
  <c r="H19" i="1"/>
  <c r="A19" i="1"/>
  <c r="K18" i="1"/>
  <c r="N18" i="1" s="1"/>
  <c r="R18" i="1" s="1"/>
  <c r="J18" i="1"/>
  <c r="I18" i="1"/>
  <c r="H18" i="1"/>
  <c r="A18" i="1"/>
  <c r="M17" i="1"/>
  <c r="K17" i="1"/>
  <c r="N17" i="1" s="1"/>
  <c r="R17" i="1" s="1"/>
  <c r="J17" i="1"/>
  <c r="I17" i="1"/>
  <c r="H17" i="1"/>
  <c r="A17" i="1"/>
  <c r="M16" i="1"/>
  <c r="J16" i="1"/>
  <c r="I16" i="1"/>
  <c r="K16" i="1" s="1"/>
  <c r="H16" i="1"/>
  <c r="A16" i="1"/>
  <c r="M15" i="1"/>
  <c r="J15" i="1"/>
  <c r="I15" i="1"/>
  <c r="K15" i="1" s="1"/>
  <c r="H15" i="1"/>
  <c r="E12" i="3" s="1"/>
  <c r="A15" i="1"/>
  <c r="M14" i="1"/>
  <c r="J14" i="1"/>
  <c r="I14" i="1"/>
  <c r="H14" i="1"/>
  <c r="A14" i="1"/>
  <c r="M13" i="1"/>
  <c r="J13" i="1"/>
  <c r="I13" i="1"/>
  <c r="K13" i="1" s="1"/>
  <c r="H13" i="1"/>
  <c r="A13" i="1"/>
  <c r="M12" i="1"/>
  <c r="J12" i="1"/>
  <c r="I12" i="1"/>
  <c r="H12" i="1"/>
  <c r="A12" i="1"/>
  <c r="M11" i="1"/>
  <c r="J11" i="1"/>
  <c r="I11" i="1"/>
  <c r="K11" i="1" s="1"/>
  <c r="N11" i="1" s="1"/>
  <c r="H11" i="1"/>
  <c r="E11" i="3" s="1"/>
  <c r="A11" i="1"/>
  <c r="M10" i="1"/>
  <c r="J10" i="1"/>
  <c r="I10" i="1"/>
  <c r="H10" i="1"/>
  <c r="E10" i="3" s="1"/>
  <c r="A10" i="1"/>
  <c r="M9" i="1"/>
  <c r="J9" i="1"/>
  <c r="K9" i="1" s="1"/>
  <c r="N9" i="1" s="1"/>
  <c r="H19" i="2" s="1"/>
  <c r="I9" i="1"/>
  <c r="H9" i="1"/>
  <c r="A9" i="1"/>
  <c r="J8" i="1"/>
  <c r="I8" i="1"/>
  <c r="H8" i="1"/>
  <c r="E8" i="3" s="1"/>
  <c r="A8" i="1"/>
  <c r="Q5" i="1"/>
  <c r="O5" i="1"/>
  <c r="M5" i="1"/>
  <c r="K5" i="1"/>
  <c r="E5" i="1"/>
  <c r="A5" i="1"/>
  <c r="N13" i="1" l="1"/>
  <c r="R13" i="1" s="1"/>
  <c r="K14" i="1"/>
  <c r="R15" i="1"/>
  <c r="H12" i="3" s="1"/>
  <c r="K12" i="1"/>
  <c r="N12" i="1" s="1"/>
  <c r="K10" i="1"/>
  <c r="F18" i="2" s="1"/>
  <c r="K8" i="1"/>
  <c r="N8" i="1" s="1"/>
  <c r="G48" i="3"/>
  <c r="H5" i="2"/>
  <c r="K30" i="1"/>
  <c r="N30" i="1" s="1"/>
  <c r="R30" i="1" s="1"/>
  <c r="G6" i="3"/>
  <c r="I48" i="3"/>
  <c r="G27" i="3"/>
  <c r="I27" i="3"/>
  <c r="R9" i="1"/>
  <c r="F9" i="3"/>
  <c r="F11" i="3"/>
  <c r="R11" i="1"/>
  <c r="H11" i="3" s="1"/>
  <c r="F12" i="3"/>
  <c r="R19" i="1"/>
  <c r="H13" i="3" s="1"/>
  <c r="F13" i="3"/>
  <c r="N14" i="1"/>
  <c r="N20" i="1"/>
  <c r="I5" i="1"/>
  <c r="F15" i="2" l="1"/>
  <c r="F14" i="2"/>
  <c r="N10" i="1"/>
  <c r="J17" i="2" s="1"/>
  <c r="C9" i="5"/>
  <c r="F16" i="2"/>
  <c r="F10" i="3"/>
  <c r="R20" i="1"/>
  <c r="H17" i="2"/>
  <c r="F26" i="2"/>
  <c r="R12" i="1"/>
  <c r="H14" i="2"/>
  <c r="F24" i="2"/>
  <c r="R8" i="1"/>
  <c r="F8" i="3"/>
  <c r="H16" i="2"/>
  <c r="C5" i="1"/>
  <c r="R14" i="1"/>
  <c r="H15" i="2"/>
  <c r="J16" i="2" l="1"/>
  <c r="J20" i="2"/>
  <c r="J19" i="2"/>
  <c r="J15" i="2"/>
  <c r="R10" i="1"/>
  <c r="H9" i="3" s="1"/>
  <c r="B9" i="5"/>
  <c r="J18" i="2"/>
  <c r="J14" i="2"/>
  <c r="H18" i="2"/>
  <c r="F25" i="2"/>
  <c r="B5" i="2"/>
  <c r="B30" i="2"/>
  <c r="H8" i="3"/>
  <c r="J24" i="2"/>
  <c r="J26" i="2"/>
  <c r="H10" i="3"/>
  <c r="J25" i="2" l="1"/>
  <c r="E9" i="5"/>
  <c r="G5" i="1"/>
  <c r="F5" i="2"/>
  <c r="I6" i="3"/>
</calcChain>
</file>

<file path=xl/sharedStrings.xml><?xml version="1.0" encoding="utf-8"?>
<sst xmlns="http://schemas.openxmlformats.org/spreadsheetml/2006/main" count="418" uniqueCount="276">
  <si>
    <t>💼  TRULANDER JSF LIMITED  —  SALES PIPELINE  |  ROYAL PALM ENCLAVE</t>
  </si>
  <si>
    <t>Blue cells = enter data freely  ·  Black auto-calc cells = formula locked  ·  Discount ✎ = formula but can be overridden  ·  pw: JSF2026</t>
  </si>
  <si>
    <t>TOTAL LEADS</t>
  </si>
  <si>
    <t>GRAND TOTAL</t>
  </si>
  <si>
    <t>COLLECTED</t>
  </si>
  <si>
    <t>OUTSTANDING</t>
  </si>
  <si>
    <t>INTEREST TOTAL</t>
  </si>
  <si>
    <t>SITE VISITS</t>
  </si>
  <si>
    <t>HIGH PRIORITY</t>
  </si>
  <si>
    <t>PLOT UNITS</t>
  </si>
  <si>
    <t>VS TARGET</t>
  </si>
  <si>
    <t>#</t>
  </si>
  <si>
    <t>GHS</t>
  </si>
  <si>
    <t>done</t>
  </si>
  <si>
    <t>urgent</t>
  </si>
  <si>
    <t>units</t>
  </si>
  <si>
    <t>achieved</t>
  </si>
  <si>
    <t>Lead Name</t>
  </si>
  <si>
    <t>Contact</t>
  </si>
  <si>
    <t>Date Added</t>
  </si>
  <si>
    <t>Stage</t>
  </si>
  <si>
    <t>Plot Type</t>
  </si>
  <si>
    <t>No. Plots</t>
  </si>
  <si>
    <t>Unit Price
(GHS)</t>
  </si>
  <si>
    <t>Gross Total
(GHS)</t>
  </si>
  <si>
    <t>Discount
(GHS) ✎</t>
  </si>
  <si>
    <t>Net Total
(GHS)</t>
  </si>
  <si>
    <t>Payment
Plan</t>
  </si>
  <si>
    <t>Interest
(GHS)</t>
  </si>
  <si>
    <t>Grand Total
(GHS)</t>
  </si>
  <si>
    <t>Site
Visit</t>
  </si>
  <si>
    <t>Priority</t>
  </si>
  <si>
    <t>Amt Paid
(GHS)</t>
  </si>
  <si>
    <t>Balance
(GHS)</t>
  </si>
  <si>
    <t>Next Action</t>
  </si>
  <si>
    <t>Notes</t>
  </si>
  <si>
    <t>Damaris</t>
  </si>
  <si>
    <t>Qualified</t>
  </si>
  <si>
    <t>Half Plot</t>
  </si>
  <si>
    <t>3 Months</t>
  </si>
  <si>
    <t>Yes</t>
  </si>
  <si>
    <t>High</t>
  </si>
  <si>
    <t>Kess</t>
  </si>
  <si>
    <t>Full Plot</t>
  </si>
  <si>
    <t>6 Months</t>
  </si>
  <si>
    <t>Suzzy Donntwi</t>
  </si>
  <si>
    <t>Negotiation</t>
  </si>
  <si>
    <t>12 Months</t>
  </si>
  <si>
    <t>Medium</t>
  </si>
  <si>
    <t>Sly Tetteh</t>
  </si>
  <si>
    <t>Ernest Arthur</t>
  </si>
  <si>
    <t>Prospecting</t>
  </si>
  <si>
    <t>No</t>
  </si>
  <si>
    <t>Low</t>
  </si>
  <si>
    <t>Isaac Asare</t>
  </si>
  <si>
    <t>Amanda</t>
  </si>
  <si>
    <t>Discovery</t>
  </si>
  <si>
    <t>Sharon</t>
  </si>
  <si>
    <t>Coach Kay</t>
  </si>
  <si>
    <t>Kwao Quaye</t>
  </si>
  <si>
    <t>Mr. James</t>
  </si>
  <si>
    <t>Serwa</t>
  </si>
  <si>
    <t>9 Months</t>
  </si>
  <si>
    <t>Mr. Effah Lawson</t>
  </si>
  <si>
    <t>Proposal</t>
  </si>
  <si>
    <t>Joel Client</t>
  </si>
  <si>
    <t>Samuel</t>
  </si>
  <si>
    <t>Enoch</t>
  </si>
  <si>
    <t>Yaw Boateng</t>
  </si>
  <si>
    <t>Wisdom Nana</t>
  </si>
  <si>
    <t>King Germany</t>
  </si>
  <si>
    <t>Marvin</t>
  </si>
  <si>
    <t>Mr. James II</t>
  </si>
  <si>
    <t>➕  ADD NEW CLIENT BELOW  —  Type name in column B, fill left to right  ·  All formulas activate automatically</t>
  </si>
  <si>
    <t>◀  MAY 2026  ▶   New entries from May 1st  |  Update Config pricing if promo/prices change before adding May leads</t>
  </si>
  <si>
    <t>HOW TO ADD A CLIENT  →  Type Lead Name in any blue cell in col B above  ·  Select Stage, Plot Type, Payment Plan, Site Visit, Priority from dropdowns  ·  Enter No. of Plots, Amt Paid  ·  All pricing, discounts, interest and totals calculate automatically  ·  Discount can be manually overridden by typing in col J  ·  Sheet password: JSF2026</t>
  </si>
  <si>
    <t>📊  MANAGEMENT DASHBOARD  —  TRULANDER JSF LIMITED  |  ROYAL PALM ENCLAVE</t>
  </si>
  <si>
    <t>All figures auto-calculated from Pipeline  ·  Personal target: 2 plots/month  ·  Job target: 1 plot/month</t>
  </si>
  <si>
    <t>GRAND TOTAL PIPELINE</t>
  </si>
  <si>
    <t>TOTAL COLLECTED</t>
  </si>
  <si>
    <t>TOTAL OUTSTANDING</t>
  </si>
  <si>
    <t>TOTAL INTEREST</t>
  </si>
  <si>
    <t>vs MONTHLY TARGET</t>
  </si>
  <si>
    <t>JOB TARGET</t>
  </si>
  <si>
    <t>PERSONAL TARGET</t>
  </si>
  <si>
    <t>FULL PLOTS</t>
  </si>
  <si>
    <t>leads</t>
  </si>
  <si>
    <t>plot/month</t>
  </si>
  <si>
    <t>clients</t>
  </si>
  <si>
    <t xml:space="preserve">  STAGE BREAKDOWN</t>
  </si>
  <si>
    <t>Count</t>
  </si>
  <si>
    <t>Net Total (GHS)</t>
  </si>
  <si>
    <t>Grand Total (GHS)</t>
  </si>
  <si>
    <t>% of Pipeline</t>
  </si>
  <si>
    <t>Closed-Won</t>
  </si>
  <si>
    <t>Closed-Lost</t>
  </si>
  <si>
    <t xml:space="preserve">  PRIORITY BREAKDOWN</t>
  </si>
  <si>
    <t>Collected (GHS)</t>
  </si>
  <si>
    <t>Balance (GHS)</t>
  </si>
  <si>
    <t xml:space="preserve">  SALES TARGET PROGRESS</t>
  </si>
  <si>
    <t>TRULANDER JSF LIMITED  |  Royal Palm Enclave, Tsopoli  |  Confidential — Management Use Only</t>
  </si>
  <si>
    <t>🎯  MONTHLY CLOSE TRACKER  —  ROYAL PALM ENCLAVE</t>
  </si>
  <si>
    <t>Type client name in Lead Name column → Grand Total, Contact &amp; Plot auto-populate from Pipeline  ·  pw: JSF2026</t>
  </si>
  <si>
    <t>◀  APRIL 2026  ▶   Status: Open   |   Add clients below who closed or are being targeted this month</t>
  </si>
  <si>
    <t>TARGETED</t>
  </si>
  <si>
    <t>CLOSED-WON</t>
  </si>
  <si>
    <t>TOTAL CLOSED (GHS)</t>
  </si>
  <si>
    <t>COLLECTED (GHS)</t>
  </si>
  <si>
    <t>BALANCE (GHS)</t>
  </si>
  <si>
    <t>MONTH STATUS</t>
  </si>
  <si>
    <t>Open</t>
  </si>
  <si>
    <t>Close Date</t>
  </si>
  <si>
    <t>Status</t>
  </si>
  <si>
    <t>Targeted</t>
  </si>
  <si>
    <t>▲  END OF APRIL 2026  |  To close this month: update Status dropdown to 'Closed-Won' or 'Closed-Lost' for each lead  ·  Pipeline Trend updates automatically</t>
  </si>
  <si>
    <t>◀  MAY 2026  ▶   Status: Open   |   Add clients below who closed or are being targeted this month</t>
  </si>
  <si>
    <t>▲  END OF MAY 2026  |  To close this month: update Status dropdown to 'Closed-Won' or 'Closed-Lost' for each lead  ·  Pipeline Trend updates automatically</t>
  </si>
  <si>
    <t>◀  JUNE 2026  ▶   Status: Open   |   Add clients below who closed or are being targeted this month</t>
  </si>
  <si>
    <t>▲  END OF JUNE 2026  |  To close this month: update Status dropdown to 'Closed-Won' or 'Closed-Lost' for each lead  ·  Pipeline Trend updates automatically</t>
  </si>
  <si>
    <t>➕ HOW TO ADD A CLIENT TO A MONTH:  Type their exact name in col B of the month section  ·  Contact, Plot Type, Grand Total, Paid and Balance auto-populate from the Pipeline  ·  Select Status from dropdown  ·  At month end, set all statuses to Closed-Won / Closed-Lost / Deferred  ·  The Trend sheet updates from this data automatically</t>
  </si>
  <si>
    <t>📝  DAILY ACTIVITY LOG  —  TRULANDER JSF LIMITED</t>
  </si>
  <si>
    <t>Log every client interaction  ·  Type client name → fill conversation details  ·  Follow-up dates turn RED when overdue  ·  Filter by name to see full history  ·  pw: JSF2026</t>
  </si>
  <si>
    <t>TOTAL LOGS</t>
  </si>
  <si>
    <t>THIS WEEK</t>
  </si>
  <si>
    <t>PENDING STEPS</t>
  </si>
  <si>
    <t>OVERDUE</t>
  </si>
  <si>
    <t>UNIQUE LEADS</t>
  </si>
  <si>
    <t>Date</t>
  </si>
  <si>
    <t>Time</t>
  </si>
  <si>
    <t>Client Name</t>
  </si>
  <si>
    <t>Contact Method</t>
  </si>
  <si>
    <t>Duration</t>
  </si>
  <si>
    <t>What Was Discussed</t>
  </si>
  <si>
    <t>Client Response / Outcome</t>
  </si>
  <si>
    <t>Next Step Agreed</t>
  </si>
  <si>
    <t>Follow-up Date</t>
  </si>
  <si>
    <t>Done?</t>
  </si>
  <si>
    <t>WhatsApp</t>
  </si>
  <si>
    <t>Call</t>
  </si>
  <si>
    <t>10 min</t>
  </si>
  <si>
    <t>➕ HOW TO LOG AN INTERACTION:  Type date in col B  ·  Time in col C  ·  Client name in col D  ·  Select method from dropdown  ·  Fill discussion, outcome, next step  ·  Enter follow-up date  ·  Set Done = No → turns RED when overdue  ·  Filter by client name (col D) to see full history  ·  EACH ROW = ONE CONVERSATION  |  New day = new row</t>
  </si>
  <si>
    <t>📈  PIPELINE TREND TRACKER  —  ROYAL PALM ENCLAVE</t>
  </si>
  <si>
    <t>Monthly pipeline snapshot — auto-calculated from Pipeline &amp; Monthly Close  ·  Chart shows pipeline movement over time</t>
  </si>
  <si>
    <t>ℹ️  HOW IT WORKS:  At the end of each month, enter the month's closing snapshot in the data table below.  The chart updates automatically to show the pipeline trend.  Grand Total, Collected, and Outstanding are the three trend lines.</t>
  </si>
  <si>
    <t>Month</t>
  </si>
  <si>
    <t>Collected
(GHS)</t>
  </si>
  <si>
    <t>Outstanding
(GHS)</t>
  </si>
  <si>
    <t>New Leads
Added</t>
  </si>
  <si>
    <t>Plots
Closed</t>
  </si>
  <si>
    <t>Jan 2026</t>
  </si>
  <si>
    <t>Feb 2026</t>
  </si>
  <si>
    <t>Mar 2026</t>
  </si>
  <si>
    <t>April 2026</t>
  </si>
  <si>
    <t>May 2026</t>
  </si>
  <si>
    <t>June 2026</t>
  </si>
  <si>
    <t>July 2026</t>
  </si>
  <si>
    <t>August 2026</t>
  </si>
  <si>
    <t>September 2026</t>
  </si>
  <si>
    <t>October 2026</t>
  </si>
  <si>
    <t>November 2026</t>
  </si>
  <si>
    <t>December 2026</t>
  </si>
  <si>
    <t>📊  WHAT THE CHART SHOWS:  Each line tracks GHS amounts per month.  GRAND TOTAL = full pipeline value  ·  COLLECTED = actual cash received (the key growth line)  ·  OUTSTANDING = remaining balance.  April &amp; May auto-update from live Pipeline.  Add historical or future months manually.</t>
  </si>
  <si>
    <t>⚙️  CONFIGURATION &amp; PRICING  —  ROYAL PALM ENCLAVE</t>
  </si>
  <si>
    <t>Edit BLUE cells only  ·  All changes reflect instantly in the pipeline  ·  Do not edit grey cells</t>
  </si>
  <si>
    <t xml:space="preserve">  PLOT PRICING &amp; DISCOUNTS</t>
  </si>
  <si>
    <t>List Price (GHS)</t>
  </si>
  <si>
    <t>Discount / Unit (GHS)</t>
  </si>
  <si>
    <t>Net Price (GHS)</t>
  </si>
  <si>
    <t>Unit</t>
  </si>
  <si>
    <t>Qty 1=one full plot, 2=two plots, etc.</t>
  </si>
  <si>
    <t>Qty 0.5=one half plot, 1.0=two halves</t>
  </si>
  <si>
    <t xml:space="preserve">  PAYMENT PLAN INTEREST RATES  (per full-plot equivalent)</t>
  </si>
  <si>
    <t>Payment Plan</t>
  </si>
  <si>
    <t>Interest / Plot-Eq (GHS)</t>
  </si>
  <si>
    <t>3 equal monthly instalments</t>
  </si>
  <si>
    <t>6 equal monthly instalments</t>
  </si>
  <si>
    <t>9 equal monthly instalments</t>
  </si>
  <si>
    <t>12 equal monthly instalments</t>
  </si>
  <si>
    <t xml:space="preserve">  SETTINGS &amp; TARGETS</t>
  </si>
  <si>
    <t>Job Description Target (plots/month)</t>
  </si>
  <si>
    <t>Official KPI — 1 plot per month</t>
  </si>
  <si>
    <t>Personal Target (plots/month)</t>
  </si>
  <si>
    <t>Your personal goal — 2 plots per month</t>
  </si>
  <si>
    <t>Monthly Sales Target (GHS)</t>
  </si>
  <si>
    <t>Based on 1 full plot net value × target</t>
  </si>
  <si>
    <t>Active Promo / Season</t>
  </si>
  <si>
    <t>Year of the Landlord – Easter 2026</t>
  </si>
  <si>
    <t>Current Period</t>
  </si>
  <si>
    <t>April–May 2026</t>
  </si>
  <si>
    <t>Property</t>
  </si>
  <si>
    <t>Royal Palm Enclave, Tsopoli, Ghana</t>
  </si>
  <si>
    <t>Company</t>
  </si>
  <si>
    <t>Trulander JSF Limited</t>
  </si>
  <si>
    <t xml:space="preserve">  CLIENT NAMES LIST  (used for dropdowns in Monthly Close &amp; Activity Log — do not edit)</t>
  </si>
  <si>
    <t>In Progress</t>
  </si>
  <si>
    <t>Shauntrece</t>
  </si>
  <si>
    <t>Ps Charles</t>
  </si>
  <si>
    <t>24.04.2026</t>
  </si>
  <si>
    <t>Mama Victoria</t>
  </si>
  <si>
    <t>Other</t>
  </si>
  <si>
    <t>10:00am</t>
  </si>
  <si>
    <t>0277966499</t>
  </si>
  <si>
    <t>Mad. Elizabeth Annor</t>
  </si>
  <si>
    <t>+1(856)745-9802</t>
  </si>
  <si>
    <t>Dcns Nyamekye</t>
  </si>
  <si>
    <t>0541157374</t>
  </si>
  <si>
    <t>David Ocran</t>
  </si>
  <si>
    <t>0205648880</t>
  </si>
  <si>
    <t>Ruby Offerie</t>
  </si>
  <si>
    <t xml:space="preserve">Gideon </t>
  </si>
  <si>
    <t>Joshua Ameworwor</t>
  </si>
  <si>
    <t>Yaa Sweetie</t>
  </si>
  <si>
    <t>Mr Antwi</t>
  </si>
  <si>
    <t>+1(217)790-9464</t>
  </si>
  <si>
    <t>0554499386</t>
  </si>
  <si>
    <t>+1(720)276-9656</t>
  </si>
  <si>
    <t>+1(908)759-3710</t>
  </si>
  <si>
    <t>0539899658</t>
  </si>
  <si>
    <t>She wanted to deposit 3000gh and deposit another 3000gh to secure the plot and pay the rest on 12 months</t>
  </si>
  <si>
    <t>Paid 3000gh, left to pay for the rest</t>
  </si>
  <si>
    <t>Follow up with rest of payments for deposit and balance</t>
  </si>
  <si>
    <t xml:space="preserve">Kweku </t>
  </si>
  <si>
    <t>Wants to engage with family, will reach out soon. Did not want to give when</t>
  </si>
  <si>
    <t>Follow up with calls as a form of check up</t>
  </si>
  <si>
    <t>27.04.2026</t>
  </si>
  <si>
    <t>11:00am</t>
  </si>
  <si>
    <t>Raymond</t>
  </si>
  <si>
    <t>1:00pm</t>
  </si>
  <si>
    <t>Property presentation made.Included location, pricing, and payment plans</t>
  </si>
  <si>
    <t>Wants to get back in June</t>
  </si>
  <si>
    <t>Follow up again May, 25</t>
  </si>
  <si>
    <t xml:space="preserve">Follow up with calls to check up </t>
  </si>
  <si>
    <t>Just had some emergencies come up so wants to focus on dealing with them first. Will certainly make a purchase</t>
  </si>
  <si>
    <t>Follow up with payments</t>
  </si>
  <si>
    <t>Wants to pay 20000gh as deposit and will pay 10000gh each month after the deposit</t>
  </si>
  <si>
    <t>Wants to put purchasing the land on a hold till June</t>
  </si>
  <si>
    <t>Follow up with calls to check on mom and work</t>
  </si>
  <si>
    <t>Wants me to engage him again in June</t>
  </si>
  <si>
    <t>Follow up with texts concerning colleagues contacts she promised to give</t>
  </si>
  <si>
    <t>Says she has spoken to colleagues and shown them her indentures but for some time now they have not been answering her calls. She showed her chats with them and promised to continue with follow ups before I can engage them</t>
  </si>
  <si>
    <t>Follow up with texts and calls concerning feedback from friend</t>
  </si>
  <si>
    <t>His friemd is the one interested. Initially he complained Tsopoli was far and would prefer Oyibi. After engagement on benefits of Tsopoli over Oyibi he wants time to convince the friend to buy from us</t>
  </si>
  <si>
    <t>Follow up with calls and texts to cehck up on dad and him</t>
  </si>
  <si>
    <t>Just made payments for his dad's surgery so is down with cash. He says I should give him a month to gather money to pay outrightly for all two plots</t>
  </si>
  <si>
    <t xml:space="preserve">Follow up with texts and calls </t>
  </si>
  <si>
    <t>They relocated to Canada recently and want to settle down before they can make a purchase. Says I should start engaging him ending of May</t>
  </si>
  <si>
    <t>Wants to engage her husband on the discussion had</t>
  </si>
  <si>
    <t>Will alert me on any feedback from the discussion with her husband</t>
  </si>
  <si>
    <t>06.05.2026</t>
  </si>
  <si>
    <t>10:52am</t>
  </si>
  <si>
    <t>Janet</t>
  </si>
  <si>
    <t>Richard Kofi Boye</t>
  </si>
  <si>
    <t>11:57am</t>
  </si>
  <si>
    <t>7 mins</t>
  </si>
  <si>
    <t>15 mins</t>
  </si>
  <si>
    <t>5 mins</t>
  </si>
  <si>
    <t>10 mins</t>
  </si>
  <si>
    <t>Introduced Royal Palm Enclave, pricing and plot options and payment plan options</t>
  </si>
  <si>
    <t>Introduced Royal Palm Enclave, pricing and discussions on landmarks and major projects around site</t>
  </si>
  <si>
    <t xml:space="preserve">Wants to visit the office at her covenience. </t>
  </si>
  <si>
    <t>Introduced Royal Palm Enclave, pricing and discussions on landmarks and major projects around site as well as the need to make deposit now since the promo ends this week</t>
  </si>
  <si>
    <t xml:space="preserve">Wants to visit site on Monday and wants to buy half plot </t>
  </si>
  <si>
    <t>Follow up calls</t>
  </si>
  <si>
    <t>Portia</t>
  </si>
  <si>
    <t>29.04.2026</t>
  </si>
  <si>
    <t>Presentation of land made with promo discussed</t>
  </si>
  <si>
    <t>Interested in 2 plots. But asked toget back by 1st week of May</t>
  </si>
  <si>
    <t>Follow up with calls and quotations</t>
  </si>
  <si>
    <t>Follow up with calls on site visit and arrangements</t>
  </si>
  <si>
    <t>07.05.2026</t>
  </si>
  <si>
    <t>5:42pm</t>
  </si>
  <si>
    <t>Esther Apedo</t>
  </si>
  <si>
    <t xml:space="preserve">She called for the confirmation of the prices </t>
  </si>
  <si>
    <t>Wants to visit office on 8th May, 2026</t>
  </si>
  <si>
    <t>Send location to office for physical meet up</t>
  </si>
  <si>
    <t>07.Apr-26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</si>
</sst>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61" x14ac:knownFonts="1">
    <font>
      <sz val="11"/>
      <color theme="1"/>
      <name val="Calibri"/>
      <family val="2"/>
      <charset val="1"/>
    </font>
    <font>
      <b/>
      <sz val="14"/>
      <color rgb="FFC9A84C"/>
      <name val="Calibri"/>
      <charset val="1"/>
    </font>
    <font>
      <sz val="8"/>
      <color rgb="FFF5E6C8"/>
      <name val="Calibri"/>
      <charset val="1"/>
    </font>
    <font>
      <b/>
      <sz val="7"/>
      <color rgb="FFC9A84C"/>
      <name val="Calibri"/>
      <charset val="1"/>
    </font>
    <font>
      <b/>
      <sz val="7"/>
      <color rgb="FFFFFFFF"/>
      <name val="Calibri"/>
      <charset val="1"/>
    </font>
    <font>
      <b/>
      <sz val="7"/>
      <color rgb="FF0D1B3E"/>
      <name val="Calibri"/>
      <charset val="1"/>
    </font>
    <font>
      <b/>
      <sz val="15"/>
      <color rgb="FFC9A84C"/>
      <name val="Calibri"/>
      <charset val="1"/>
    </font>
    <font>
      <b/>
      <sz val="15"/>
      <color rgb="FFFFFFFF"/>
      <name val="Calibri"/>
      <charset val="1"/>
    </font>
    <font>
      <b/>
      <sz val="15"/>
      <color rgb="FF0D1B3E"/>
      <name val="Calibri"/>
      <charset val="1"/>
    </font>
    <font>
      <sz val="7"/>
      <color rgb="FFC9A84C"/>
      <name val="Calibri"/>
      <charset val="1"/>
    </font>
    <font>
      <sz val="7"/>
      <color rgb="FFFFFFFF"/>
      <name val="Calibri"/>
      <charset val="1"/>
    </font>
    <font>
      <sz val="7"/>
      <color rgb="FF0D1B3E"/>
      <name val="Calibri"/>
      <charset val="1"/>
    </font>
    <font>
      <b/>
      <sz val="8"/>
      <color rgb="FFFFFFFF"/>
      <name val="Calibri"/>
      <charset val="1"/>
    </font>
    <font>
      <b/>
      <sz val="9"/>
      <color rgb="FFFFFFFF"/>
      <name val="Calibri"/>
      <charset val="1"/>
    </font>
    <font>
      <b/>
      <sz val="10"/>
      <color rgb="FF0D1B3E"/>
      <name val="Calibri"/>
      <charset val="1"/>
    </font>
    <font>
      <sz val="9"/>
      <color rgb="FF334155"/>
      <name val="Calibri"/>
      <charset val="1"/>
    </font>
    <font>
      <sz val="9"/>
      <color rgb="FF0D1B3E"/>
      <name val="Calibri"/>
      <charset val="1"/>
    </font>
    <font>
      <b/>
      <sz val="10"/>
      <color rgb="FF0000CC"/>
      <name val="Calibri"/>
      <charset val="1"/>
    </font>
    <font>
      <sz val="9"/>
      <color rgb="FF9A7B2F"/>
      <name val="Calibri"/>
      <charset val="1"/>
    </font>
    <font>
      <b/>
      <sz val="9"/>
      <color rgb="FF0F766E"/>
      <name val="Calibri"/>
      <charset val="1"/>
    </font>
    <font>
      <b/>
      <sz val="10"/>
      <color rgb="FFFFFFFF"/>
      <name val="Calibri"/>
      <charset val="1"/>
    </font>
    <font>
      <b/>
      <sz val="9"/>
      <color rgb="FF166534"/>
      <name val="Calibri"/>
      <charset val="1"/>
    </font>
    <font>
      <b/>
      <sz val="10"/>
      <color rgb="FF166534"/>
      <name val="Calibri"/>
      <charset val="1"/>
    </font>
    <font>
      <b/>
      <sz val="10"/>
      <color rgb="FF991B1B"/>
      <name val="Calibri"/>
      <charset val="1"/>
    </font>
    <font>
      <sz val="9"/>
      <color rgb="FF6B7280"/>
      <name val="Calibri"/>
      <charset val="1"/>
    </font>
    <font>
      <b/>
      <sz val="9"/>
      <color rgb="FF6B7280"/>
      <name val="Calibri"/>
      <charset val="1"/>
    </font>
    <font>
      <sz val="10"/>
      <color rgb="FFCBD0DC"/>
      <name val="Calibri"/>
      <charset val="1"/>
    </font>
    <font>
      <b/>
      <sz val="10"/>
      <color rgb="FFC9A84C"/>
      <name val="Calibri"/>
      <charset val="1"/>
    </font>
    <font>
      <sz val="8"/>
      <color rgb="FF9A7B2F"/>
      <name val="Calibri"/>
      <charset val="1"/>
    </font>
    <font>
      <b/>
      <sz val="13"/>
      <color rgb="FFC9A84C"/>
      <name val="Calibri"/>
      <charset val="1"/>
    </font>
    <font>
      <b/>
      <sz val="17"/>
      <color rgb="FFC9A84C"/>
      <name val="Calibri"/>
      <charset val="1"/>
    </font>
    <font>
      <b/>
      <sz val="17"/>
      <color rgb="FFFFFFFF"/>
      <name val="Calibri"/>
      <charset val="1"/>
    </font>
    <font>
      <b/>
      <sz val="17"/>
      <color rgb="FF0D1B3E"/>
      <name val="Calibri"/>
      <charset val="1"/>
    </font>
    <font>
      <b/>
      <sz val="9"/>
      <color rgb="FFC9A84C"/>
      <name val="Calibri"/>
      <charset val="1"/>
    </font>
    <font>
      <b/>
      <sz val="11"/>
      <color rgb="FF0D1B3E"/>
      <name val="Calibri"/>
      <charset val="1"/>
    </font>
    <font>
      <sz val="10"/>
      <color rgb="FF0D1B3E"/>
      <name val="Calibri"/>
      <charset val="1"/>
    </font>
    <font>
      <sz val="10"/>
      <color rgb="FF166534"/>
      <name val="Calibri"/>
      <charset val="1"/>
    </font>
    <font>
      <sz val="10"/>
      <color rgb="FF991B1B"/>
      <name val="Calibri"/>
      <charset val="1"/>
    </font>
    <font>
      <sz val="10"/>
      <color rgb="FF334155"/>
      <name val="Calibri"/>
      <charset val="1"/>
    </font>
    <font>
      <sz val="10"/>
      <color rgb="FF5B21B6"/>
      <name val="Calibri"/>
      <charset val="1"/>
    </font>
    <font>
      <b/>
      <sz val="11"/>
      <color rgb="FFC9A84C"/>
      <name val="Calibri"/>
      <charset val="1"/>
    </font>
    <font>
      <b/>
      <sz val="12"/>
      <color rgb="FFC9A84C"/>
      <name val="Calibri"/>
      <charset val="1"/>
    </font>
    <font>
      <b/>
      <sz val="12"/>
      <color rgb="FFFFFFFF"/>
      <name val="Calibri"/>
      <charset val="1"/>
    </font>
    <font>
      <b/>
      <sz val="9"/>
      <color rgb="FFF5E6C8"/>
      <name val="Calibri"/>
      <charset val="1"/>
    </font>
    <font>
      <b/>
      <sz val="14"/>
      <color rgb="FFFFFFFF"/>
      <name val="Calibri"/>
      <charset val="1"/>
    </font>
    <font>
      <b/>
      <sz val="14"/>
      <color rgb="FF0D1B3E"/>
      <name val="Calibri"/>
      <charset val="1"/>
    </font>
    <font>
      <sz val="9"/>
      <color rgb="FF166534"/>
      <name val="Calibri"/>
      <charset val="1"/>
    </font>
    <font>
      <sz val="9"/>
      <color rgb="FFCBD0DC"/>
      <name val="Calibri"/>
      <charset val="1"/>
    </font>
    <font>
      <sz val="8"/>
      <color rgb="FF0F766E"/>
      <name val="Calibri"/>
      <charset val="1"/>
    </font>
    <font>
      <sz val="10"/>
      <color rgb="FF0F766E"/>
      <name val="Calibri"/>
      <charset val="1"/>
    </font>
    <font>
      <sz val="10"/>
      <color rgb="FF6B7280"/>
      <name val="Calibri"/>
      <charset val="1"/>
    </font>
    <font>
      <b/>
      <sz val="9"/>
      <color rgb="FF0D1B3E"/>
      <name val="Calibri"/>
      <charset val="1"/>
    </font>
    <font>
      <sz val="8"/>
      <color rgb="FF6B7280"/>
      <name val="Calibri"/>
      <charset val="1"/>
    </font>
    <font>
      <b/>
      <sz val="10"/>
      <color rgb="FF0D1B3E"/>
      <name val="Calibri"/>
      <family val="2"/>
      <scheme val="minor"/>
    </font>
    <font>
      <b/>
      <sz val="10"/>
      <color rgb="FF0D1B3E"/>
      <name val="Calibri"/>
      <family val="2"/>
    </font>
    <font>
      <sz val="9"/>
      <color rgb="FF334155"/>
      <name val="Calibri"/>
      <family val="2"/>
    </font>
    <font>
      <b/>
      <sz val="9"/>
      <color rgb="FFFFFFFF"/>
      <name val="Calibri"/>
      <family val="2"/>
    </font>
    <font>
      <sz val="9"/>
      <color rgb="FF0D1B3E"/>
      <name val="Calibri"/>
      <family val="2"/>
    </font>
    <font>
      <b/>
      <sz val="9"/>
      <color rgb="FF0F766E"/>
      <name val="Calibri"/>
      <family val="2"/>
    </font>
    <font>
      <b/>
      <sz val="9"/>
      <color rgb="FF166534"/>
      <name val="Calibri"/>
      <family val="2"/>
    </font>
    <font>
      <sz val="9"/>
      <color rgb="FF166534"/>
      <name val="Calibri"/>
      <family val="2"/>
    </font>
  </fonts>
  <fills count="31">
    <fill>
      <patternFill patternType="none"/>
    </fill>
    <fill>
      <patternFill patternType="gray125"/>
    </fill>
    <fill>
      <patternFill patternType="solid">
        <fgColor rgb="FF0D1B3E"/>
        <bgColor rgb="FF1C2D5A"/>
      </patternFill>
    </fill>
    <fill>
      <patternFill patternType="solid">
        <fgColor rgb="FF1C2D5A"/>
        <bgColor rgb="FF243352"/>
      </patternFill>
    </fill>
    <fill>
      <patternFill patternType="solid">
        <fgColor rgb="FFC9A84C"/>
        <bgColor rgb="FF9CA3AF"/>
      </patternFill>
    </fill>
    <fill>
      <patternFill patternType="solid">
        <fgColor rgb="FF166534"/>
        <bgColor rgb="FF0F766E"/>
      </patternFill>
    </fill>
    <fill>
      <patternFill patternType="solid">
        <fgColor rgb="FF991B1B"/>
        <bgColor rgb="FF9A3412"/>
      </patternFill>
    </fill>
    <fill>
      <patternFill patternType="solid">
        <fgColor rgb="FF0F766E"/>
        <bgColor rgb="FF166534"/>
      </patternFill>
    </fill>
    <fill>
      <patternFill patternType="solid">
        <fgColor rgb="FF243352"/>
        <bgColor rgb="FF1C2D5A"/>
      </patternFill>
    </fill>
    <fill>
      <patternFill patternType="solid">
        <fgColor rgb="FFF0F3F8"/>
        <bgColor rgb="FFF3F4F6"/>
      </patternFill>
    </fill>
    <fill>
      <patternFill patternType="solid">
        <fgColor rgb="FFFFFFFF"/>
        <bgColor rgb="FFFAFBFD"/>
      </patternFill>
    </fill>
    <fill>
      <patternFill patternType="solid">
        <fgColor rgb="FF059669"/>
        <bgColor rgb="FF0F766E"/>
      </patternFill>
    </fill>
    <fill>
      <patternFill patternType="solid">
        <fgColor rgb="FFFFEDD5"/>
        <bgColor rgb="FFFEF3C7"/>
      </patternFill>
    </fill>
    <fill>
      <patternFill patternType="solid">
        <fgColor rgb="FFEFF6FF"/>
        <bgColor rgb="FFF0F3F8"/>
      </patternFill>
    </fill>
    <fill>
      <patternFill patternType="solid">
        <fgColor rgb="FFF5E6C8"/>
        <bgColor rgb="FFFFEDD5"/>
      </patternFill>
    </fill>
    <fill>
      <patternFill patternType="solid">
        <fgColor rgb="FFCCFBF1"/>
        <bgColor rgb="FFDCFCE7"/>
      </patternFill>
    </fill>
    <fill>
      <patternFill patternType="solid">
        <fgColor rgb="FFDCFCE7"/>
        <bgColor rgb="FFCCFBF1"/>
      </patternFill>
    </fill>
    <fill>
      <patternFill patternType="solid">
        <fgColor rgb="FFDC2626"/>
        <bgColor rgb="FF991B1B"/>
      </patternFill>
    </fill>
    <fill>
      <patternFill patternType="solid">
        <fgColor rgb="FFFEE2E2"/>
        <bgColor rgb="FFFFEDD5"/>
      </patternFill>
    </fill>
    <fill>
      <patternFill patternType="solid">
        <fgColor rgb="FFD97706"/>
        <bgColor rgb="FF9A7B2F"/>
      </patternFill>
    </fill>
    <fill>
      <patternFill patternType="solid">
        <fgColor rgb="FF2563EB"/>
        <bgColor rgb="FF1E40AF"/>
      </patternFill>
    </fill>
    <fill>
      <patternFill patternType="solid">
        <fgColor rgb="FF7C3AED"/>
        <bgColor rgb="FF5B21B6"/>
      </patternFill>
    </fill>
    <fill>
      <patternFill patternType="solid">
        <fgColor rgb="FFFAFBFD"/>
        <bgColor rgb="FFFFFFFF"/>
      </patternFill>
    </fill>
    <fill>
      <patternFill patternType="solid">
        <fgColor rgb="FFFFFBF0"/>
        <bgColor rgb="FFFAFBFD"/>
      </patternFill>
    </fill>
    <fill>
      <patternFill patternType="solid">
        <fgColor rgb="FF5B21B6"/>
        <bgColor rgb="FF7C3AED"/>
      </patternFill>
    </fill>
    <fill>
      <patternFill patternType="solid">
        <fgColor rgb="FF6B7280"/>
        <bgColor rgb="FF878787"/>
      </patternFill>
    </fill>
    <fill>
      <patternFill patternType="solid">
        <fgColor rgb="FFEDE9FE"/>
        <bgColor rgb="FFF0F3F8"/>
      </patternFill>
    </fill>
    <fill>
      <patternFill patternType="solid">
        <fgColor rgb="FF1B4332"/>
        <bgColor rgb="FF243352"/>
      </patternFill>
    </fill>
    <fill>
      <patternFill patternType="solid">
        <fgColor rgb="FF9A3412"/>
        <bgColor rgb="FF991B1B"/>
      </patternFill>
    </fill>
    <fill>
      <patternFill patternType="solid">
        <fgColor rgb="FF1E40AF"/>
        <bgColor rgb="FF1C2D5A"/>
      </patternFill>
    </fill>
    <fill>
      <patternFill patternType="solid">
        <fgColor rgb="FFE8EDF8"/>
        <bgColor rgb="FFEEF0FF"/>
      </patternFill>
    </fill>
  </fills>
  <borders count="11">
    <border>
      <left/>
      <right/>
      <top/>
      <bottom/>
      <diagonal/>
    </border>
    <border>
      <left style="thin">
        <color rgb="FF9A7B2F"/>
      </left>
      <right style="thin">
        <color rgb="FF9A7B2F"/>
      </right>
      <top style="thin">
        <color rgb="FF9A7B2F"/>
      </top>
      <bottom style="thin">
        <color rgb="FF9A7B2F"/>
      </bottom>
      <diagonal/>
    </border>
    <border>
      <left style="thin">
        <color rgb="FFCBD0DC"/>
      </left>
      <right style="thin">
        <color rgb="FFCBD0DC"/>
      </right>
      <top style="thin">
        <color rgb="FFCBD0DC"/>
      </top>
      <bottom style="thin">
        <color rgb="FFCBD0DC"/>
      </bottom>
      <diagonal/>
    </border>
    <border>
      <left/>
      <right style="thin">
        <color rgb="FFCBD0DC"/>
      </right>
      <top style="medium">
        <color rgb="FF9A7B2F"/>
      </top>
      <bottom style="medium">
        <color rgb="FF9A7B2F"/>
      </bottom>
      <diagonal/>
    </border>
    <border>
      <left/>
      <right/>
      <top style="medium">
        <color rgb="FF9A7B2F"/>
      </top>
      <bottom style="medium">
        <color rgb="FF9A7B2F"/>
      </bottom>
      <diagonal/>
    </border>
    <border>
      <left/>
      <right/>
      <top style="medium">
        <color rgb="FF9A7B2F"/>
      </top>
      <bottom/>
      <diagonal/>
    </border>
    <border>
      <left style="thin">
        <color rgb="FF9A7B2F"/>
      </left>
      <right/>
      <top style="thin">
        <color rgb="FF9A7B2F"/>
      </top>
      <bottom style="thin">
        <color rgb="FF9A7B2F"/>
      </bottom>
      <diagonal/>
    </border>
    <border>
      <left style="thin">
        <color rgb="FFFFFFFF"/>
      </left>
      <right/>
      <top style="thin">
        <color rgb="FFFFFFFF"/>
      </top>
      <bottom style="thin">
        <color rgb="FFFFFFFF"/>
      </bottom>
      <diagonal/>
    </border>
    <border>
      <left style="thin">
        <color rgb="FFCBD0DC"/>
      </left>
      <right/>
      <top style="thin">
        <color rgb="FFCBD0DC"/>
      </top>
      <bottom style="thin">
        <color rgb="FFCBD0DC"/>
      </bottom>
      <diagonal/>
    </border>
    <border>
      <left style="thin">
        <color rgb="FFFFFFFF"/>
      </left>
      <right style="thin">
        <color rgb="FFFFFFFF"/>
      </right>
      <top style="thin">
        <color rgb="FFFFFFFF"/>
      </top>
      <bottom style="thin">
        <color rgb="FFFFFFFF"/>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207">
    <xf numFmtId="0" fontId="0" fillId="0" borderId="0" xfId="0"/>
    <xf numFmtId="0" fontId="12" fillId="2"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4" fillId="9" borderId="2" xfId="0" applyFont="1" applyFill="1" applyBorder="1" applyAlignment="1" applyProtection="1">
      <alignment horizontal="left" vertical="center" wrapText="1"/>
      <protection locked="0"/>
    </xf>
    <xf numFmtId="0" fontId="15" fillId="10" borderId="2" xfId="0" applyFont="1" applyFill="1" applyBorder="1" applyAlignment="1" applyProtection="1">
      <alignment horizontal="left" vertical="center" wrapText="1"/>
      <protection locked="0"/>
    </xf>
    <xf numFmtId="15" fontId="16" fillId="9" borderId="2" xfId="0" applyNumberFormat="1" applyFont="1" applyFill="1" applyBorder="1" applyAlignment="1" applyProtection="1">
      <alignment horizontal="center" vertical="center" wrapText="1"/>
      <protection locked="0"/>
    </xf>
    <xf numFmtId="0" fontId="13" fillId="11" borderId="2" xfId="0" applyFont="1" applyFill="1" applyBorder="1" applyAlignment="1" applyProtection="1">
      <alignment horizontal="center" vertical="center" wrapText="1"/>
      <protection locked="0"/>
    </xf>
    <xf numFmtId="0" fontId="16" fillId="12" borderId="2" xfId="0" applyFont="1" applyFill="1" applyBorder="1" applyAlignment="1" applyProtection="1">
      <alignment horizontal="center" vertical="center" wrapText="1"/>
      <protection locked="0"/>
    </xf>
    <xf numFmtId="164" fontId="17" fillId="13" borderId="2" xfId="0" applyNumberFormat="1" applyFont="1" applyFill="1" applyBorder="1" applyAlignment="1" applyProtection="1">
      <alignment horizontal="center" vertical="center" wrapText="1"/>
      <protection locked="0"/>
    </xf>
    <xf numFmtId="3" fontId="16" fillId="9" borderId="2" xfId="0" applyNumberFormat="1" applyFont="1" applyFill="1" applyBorder="1" applyAlignment="1">
      <alignment horizontal="center" vertical="center" wrapText="1"/>
    </xf>
    <xf numFmtId="3" fontId="18" fillId="12" borderId="2" xfId="0" applyNumberFormat="1" applyFont="1" applyFill="1" applyBorder="1" applyAlignment="1" applyProtection="1">
      <alignment horizontal="center" vertical="center" wrapText="1"/>
      <protection locked="0"/>
    </xf>
    <xf numFmtId="3" fontId="14" fillId="14" borderId="2" xfId="0" applyNumberFormat="1" applyFont="1" applyFill="1" applyBorder="1" applyAlignment="1">
      <alignment horizontal="center" vertical="center" wrapText="1"/>
    </xf>
    <xf numFmtId="0" fontId="19" fillId="15" borderId="2" xfId="0" applyFont="1" applyFill="1" applyBorder="1" applyAlignment="1" applyProtection="1">
      <alignment horizontal="center" vertical="center" wrapText="1"/>
      <protection locked="0"/>
    </xf>
    <xf numFmtId="3" fontId="19" fillId="15" borderId="2" xfId="0" applyNumberFormat="1" applyFont="1" applyFill="1" applyBorder="1" applyAlignment="1">
      <alignment horizontal="center" vertical="center" wrapText="1"/>
    </xf>
    <xf numFmtId="3" fontId="20" fillId="3" borderId="2" xfId="0" applyNumberFormat="1" applyFont="1" applyFill="1" applyBorder="1" applyAlignment="1">
      <alignment horizontal="center" vertical="center" wrapText="1"/>
    </xf>
    <xf numFmtId="0" fontId="21" fillId="16" borderId="2" xfId="0" applyFont="1" applyFill="1" applyBorder="1" applyAlignment="1" applyProtection="1">
      <alignment horizontal="center" vertical="center" wrapText="1"/>
      <protection locked="0"/>
    </xf>
    <xf numFmtId="0" fontId="13" fillId="17" borderId="2" xfId="0" applyFont="1" applyFill="1" applyBorder="1" applyAlignment="1" applyProtection="1">
      <alignment horizontal="center" vertical="center" wrapText="1"/>
      <protection locked="0"/>
    </xf>
    <xf numFmtId="3" fontId="22" fillId="16" borderId="2" xfId="0" applyNumberFormat="1" applyFont="1" applyFill="1" applyBorder="1" applyAlignment="1" applyProtection="1">
      <alignment horizontal="center" vertical="center" wrapText="1"/>
      <protection locked="0"/>
    </xf>
    <xf numFmtId="3" fontId="23" fillId="18" borderId="2" xfId="0" applyNumberFormat="1" applyFont="1" applyFill="1" applyBorder="1" applyAlignment="1">
      <alignment horizontal="center" vertical="center" wrapText="1"/>
    </xf>
    <xf numFmtId="0" fontId="16" fillId="10" borderId="2" xfId="0" applyFont="1" applyFill="1" applyBorder="1" applyAlignment="1" applyProtection="1">
      <alignment horizontal="left" vertical="center" wrapText="1"/>
      <protection locked="0"/>
    </xf>
    <xf numFmtId="0" fontId="24" fillId="10" borderId="2" xfId="0" applyFont="1" applyFill="1" applyBorder="1" applyAlignment="1" applyProtection="1">
      <alignment horizontal="left" vertical="center" wrapText="1"/>
      <protection locked="0"/>
    </xf>
    <xf numFmtId="3" fontId="22" fillId="13" borderId="2" xfId="0" applyNumberFormat="1" applyFont="1" applyFill="1" applyBorder="1" applyAlignment="1" applyProtection="1">
      <alignment horizontal="center" vertical="center" wrapText="1"/>
      <protection locked="0"/>
    </xf>
    <xf numFmtId="0" fontId="13" fillId="19" borderId="2" xfId="0" applyFont="1" applyFill="1" applyBorder="1" applyAlignment="1" applyProtection="1">
      <alignment horizontal="center" vertical="center" wrapText="1"/>
      <protection locked="0"/>
    </xf>
    <xf numFmtId="0" fontId="13" fillId="20" borderId="2" xfId="0" applyFont="1" applyFill="1" applyBorder="1" applyAlignment="1" applyProtection="1">
      <alignment horizontal="center" vertical="center" wrapText="1"/>
      <protection locked="0"/>
    </xf>
    <xf numFmtId="0" fontId="19" fillId="13" borderId="2" xfId="0" applyFont="1" applyFill="1" applyBorder="1" applyAlignment="1" applyProtection="1">
      <alignment horizontal="center" vertical="center" wrapText="1"/>
      <protection locked="0"/>
    </xf>
    <xf numFmtId="0" fontId="16" fillId="18" borderId="2" xfId="0" applyFont="1" applyFill="1" applyBorder="1" applyAlignment="1" applyProtection="1">
      <alignment horizontal="center" vertical="center" wrapText="1"/>
      <protection locked="0"/>
    </xf>
    <xf numFmtId="0" fontId="13" fillId="21" borderId="2" xfId="0" applyFont="1" applyFill="1" applyBorder="1" applyAlignment="1" applyProtection="1">
      <alignment horizontal="center" vertical="center" wrapText="1"/>
      <protection locked="0"/>
    </xf>
    <xf numFmtId="0" fontId="13" fillId="3" borderId="2" xfId="0" applyFont="1" applyFill="1" applyBorder="1" applyAlignment="1" applyProtection="1">
      <alignment horizontal="center" vertical="center" wrapText="1"/>
      <protection locked="0"/>
    </xf>
    <xf numFmtId="0" fontId="25" fillId="22" borderId="2" xfId="0" applyFont="1" applyFill="1" applyBorder="1" applyAlignment="1">
      <alignment horizontal="center" vertical="center" wrapText="1"/>
    </xf>
    <xf numFmtId="0" fontId="14" fillId="13" borderId="2" xfId="0" applyFont="1" applyFill="1" applyBorder="1" applyAlignment="1" applyProtection="1">
      <alignment horizontal="left" vertical="center" wrapText="1"/>
      <protection locked="0"/>
    </xf>
    <xf numFmtId="0" fontId="15" fillId="13" borderId="2" xfId="0" applyFont="1" applyFill="1" applyBorder="1" applyAlignment="1" applyProtection="1">
      <alignment horizontal="left" vertical="center" wrapText="1"/>
      <protection locked="0"/>
    </xf>
    <xf numFmtId="15" fontId="16" fillId="13" borderId="2" xfId="0" applyNumberFormat="1" applyFont="1" applyFill="1" applyBorder="1" applyAlignment="1" applyProtection="1">
      <alignment horizontal="center" vertical="center" wrapText="1"/>
      <protection locked="0"/>
    </xf>
    <xf numFmtId="0" fontId="16" fillId="13" borderId="2" xfId="0" applyFont="1" applyFill="1" applyBorder="1" applyAlignment="1" applyProtection="1">
      <alignment horizontal="center" vertical="center" wrapText="1"/>
      <protection locked="0"/>
    </xf>
    <xf numFmtId="3" fontId="19" fillId="22" borderId="2" xfId="0" applyNumberFormat="1" applyFont="1" applyFill="1" applyBorder="1" applyAlignment="1">
      <alignment horizontal="center" vertical="center" wrapText="1"/>
    </xf>
    <xf numFmtId="3" fontId="26" fillId="22" borderId="2" xfId="0" applyNumberFormat="1" applyFont="1" applyFill="1" applyBorder="1" applyAlignment="1">
      <alignment horizontal="center" vertical="center" wrapText="1"/>
    </xf>
    <xf numFmtId="3" fontId="23" fillId="22" borderId="2" xfId="0" applyNumberFormat="1" applyFont="1" applyFill="1" applyBorder="1" applyAlignment="1">
      <alignment horizontal="center" vertical="center" wrapText="1"/>
    </xf>
    <xf numFmtId="0" fontId="16" fillId="13" borderId="2" xfId="0" applyFont="1" applyFill="1" applyBorder="1" applyAlignment="1" applyProtection="1">
      <alignment horizontal="left" vertical="center" wrapText="1"/>
      <protection locked="0"/>
    </xf>
    <xf numFmtId="0" fontId="24" fillId="13" borderId="2" xfId="0" applyFont="1" applyFill="1" applyBorder="1" applyAlignment="1" applyProtection="1">
      <alignment horizontal="left" vertical="center" wrapText="1"/>
      <protection locked="0"/>
    </xf>
    <xf numFmtId="0" fontId="27" fillId="3" borderId="4" xfId="0" applyFont="1" applyFill="1" applyBorder="1" applyAlignment="1">
      <alignment horizontal="center" vertical="center" wrapText="1"/>
    </xf>
    <xf numFmtId="0" fontId="28" fillId="23" borderId="5" xfId="0" applyFont="1" applyFill="1" applyBorder="1" applyAlignment="1" applyProtection="1">
      <alignment horizontal="left" vertical="center" wrapText="1"/>
      <protection locked="0"/>
    </xf>
    <xf numFmtId="0" fontId="4" fillId="20" borderId="0" xfId="0" applyFont="1" applyFill="1" applyAlignment="1">
      <alignment horizontal="center"/>
    </xf>
    <xf numFmtId="0" fontId="42" fillId="20"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3" fillId="3" borderId="0" xfId="0" applyFont="1" applyFill="1" applyAlignment="1">
      <alignment horizontal="center" vertical="center" wrapText="1"/>
    </xf>
    <xf numFmtId="0" fontId="15" fillId="9" borderId="2" xfId="0" applyFont="1" applyFill="1" applyBorder="1" applyAlignment="1">
      <alignment horizontal="left" vertical="center" wrapText="1"/>
    </xf>
    <xf numFmtId="0" fontId="16" fillId="12" borderId="2" xfId="0" applyFont="1" applyFill="1" applyBorder="1" applyAlignment="1">
      <alignment horizontal="center" vertical="center" wrapText="1"/>
    </xf>
    <xf numFmtId="164" fontId="16" fillId="9" borderId="2" xfId="0" applyNumberFormat="1" applyFont="1" applyFill="1" applyBorder="1" applyAlignment="1">
      <alignment horizontal="center" vertical="center" wrapText="1"/>
    </xf>
    <xf numFmtId="3" fontId="22" fillId="16" borderId="2" xfId="0" applyNumberFormat="1" applyFont="1" applyFill="1" applyBorder="1" applyAlignment="1">
      <alignment horizontal="center" vertical="center" wrapText="1"/>
    </xf>
    <xf numFmtId="0" fontId="13" fillId="20" borderId="9" xfId="0" applyFont="1" applyFill="1" applyBorder="1" applyAlignment="1" applyProtection="1">
      <alignment horizontal="center" vertical="center" wrapText="1"/>
      <protection locked="0"/>
    </xf>
    <xf numFmtId="0" fontId="0" fillId="10" borderId="2" xfId="0" applyFill="1" applyBorder="1" applyAlignment="1" applyProtection="1">
      <alignment horizontal="left" vertical="center" wrapText="1"/>
      <protection locked="0"/>
    </xf>
    <xf numFmtId="0" fontId="13" fillId="22" borderId="0" xfId="0" applyFont="1" applyFill="1" applyAlignment="1">
      <alignment horizontal="center" vertical="center" wrapText="1"/>
    </xf>
    <xf numFmtId="0" fontId="25" fillId="22" borderId="2" xfId="0" applyFont="1" applyFill="1" applyBorder="1" applyAlignment="1" applyProtection="1">
      <alignment horizontal="center" vertical="center" wrapText="1"/>
      <protection locked="0"/>
    </xf>
    <xf numFmtId="0" fontId="0" fillId="13" borderId="2" xfId="0" applyFill="1" applyBorder="1" applyAlignment="1" applyProtection="1">
      <alignment horizontal="left" vertical="center" wrapText="1"/>
      <protection locked="0"/>
    </xf>
    <xf numFmtId="0" fontId="24" fillId="13" borderId="2"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center" vertical="center" wrapText="1"/>
      <protection locked="0"/>
    </xf>
    <xf numFmtId="0" fontId="24" fillId="9" borderId="2" xfId="0" applyFont="1" applyFill="1" applyBorder="1" applyAlignment="1" applyProtection="1">
      <alignment horizontal="center" vertical="center" wrapText="1"/>
      <protection locked="0"/>
    </xf>
    <xf numFmtId="0" fontId="13" fillId="11" borderId="9" xfId="0" applyFont="1" applyFill="1" applyBorder="1" applyAlignment="1" applyProtection="1">
      <alignment horizontal="center" vertical="center" wrapText="1"/>
      <protection locked="0"/>
    </xf>
    <xf numFmtId="0" fontId="46" fillId="16" borderId="2" xfId="0" applyFont="1" applyFill="1" applyBorder="1" applyAlignment="1" applyProtection="1">
      <alignment horizontal="left" vertical="center" wrapText="1"/>
      <protection locked="0"/>
    </xf>
    <xf numFmtId="0" fontId="16" fillId="12" borderId="2" xfId="0" applyFont="1" applyFill="1" applyBorder="1" applyAlignment="1" applyProtection="1">
      <alignment horizontal="left" vertical="center" wrapText="1"/>
      <protection locked="0"/>
    </xf>
    <xf numFmtId="0" fontId="13" fillId="29" borderId="9" xfId="0" applyFont="1" applyFill="1" applyBorder="1" applyAlignment="1" applyProtection="1">
      <alignment horizontal="center" vertical="center" wrapText="1"/>
      <protection locked="0"/>
    </xf>
    <xf numFmtId="0" fontId="13" fillId="6" borderId="9" xfId="0" applyFont="1" applyFill="1" applyBorder="1" applyAlignment="1" applyProtection="1">
      <alignment horizontal="center" vertical="center" wrapText="1"/>
      <protection locked="0"/>
    </xf>
    <xf numFmtId="0" fontId="13" fillId="24" borderId="9" xfId="0" applyFont="1" applyFill="1" applyBorder="1" applyAlignment="1" applyProtection="1">
      <alignment horizontal="center" vertical="center" wrapText="1"/>
      <protection locked="0"/>
    </xf>
    <xf numFmtId="0" fontId="13" fillId="17" borderId="9" xfId="0" applyFont="1" applyFill="1" applyBorder="1" applyAlignment="1" applyProtection="1">
      <alignment horizontal="center" vertical="center" wrapText="1"/>
      <protection locked="0"/>
    </xf>
    <xf numFmtId="0" fontId="47" fillId="22" borderId="0" xfId="0" applyFont="1" applyFill="1" applyAlignment="1">
      <alignment horizontal="center" vertical="center" wrapText="1"/>
    </xf>
    <xf numFmtId="15" fontId="0" fillId="13" borderId="2" xfId="0" applyNumberFormat="1" applyFill="1" applyBorder="1" applyAlignment="1" applyProtection="1">
      <alignment horizontal="center" vertical="center" wrapText="1"/>
      <protection locked="0"/>
    </xf>
    <xf numFmtId="0" fontId="0" fillId="13" borderId="2" xfId="0" applyFill="1" applyBorder="1" applyAlignment="1" applyProtection="1">
      <alignment horizontal="center" vertical="center" wrapText="1"/>
      <protection locked="0"/>
    </xf>
    <xf numFmtId="0" fontId="0" fillId="15" borderId="2" xfId="0" applyFill="1" applyBorder="1" applyAlignment="1" applyProtection="1">
      <alignment horizontal="center" vertical="center" wrapText="1"/>
      <protection locked="0"/>
    </xf>
    <xf numFmtId="0" fontId="0" fillId="9" borderId="2" xfId="0" applyFill="1" applyBorder="1" applyAlignment="1" applyProtection="1">
      <alignment horizontal="center" vertical="center" wrapText="1"/>
      <protection locked="0"/>
    </xf>
    <xf numFmtId="0" fontId="0" fillId="26" borderId="2" xfId="0" applyFill="1" applyBorder="1" applyAlignment="1" applyProtection="1">
      <alignment horizontal="center" vertical="center" wrapText="1"/>
      <protection locked="0"/>
    </xf>
    <xf numFmtId="0" fontId="0" fillId="16" borderId="2" xfId="0" applyFill="1" applyBorder="1" applyAlignment="1" applyProtection="1">
      <alignment horizontal="left" vertical="center" wrapText="1"/>
      <protection locked="0"/>
    </xf>
    <xf numFmtId="0" fontId="0" fillId="12" borderId="2" xfId="0" applyFill="1" applyBorder="1" applyAlignment="1" applyProtection="1">
      <alignment horizontal="left" vertical="center" wrapText="1"/>
      <protection locked="0"/>
    </xf>
    <xf numFmtId="0" fontId="0" fillId="22" borderId="2" xfId="0" applyFill="1" applyBorder="1" applyAlignment="1" applyProtection="1">
      <alignment horizontal="center" vertical="center" wrapText="1"/>
      <protection locked="0"/>
    </xf>
    <xf numFmtId="0" fontId="12" fillId="2" borderId="2"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2" fillId="6" borderId="2"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35" fillId="9" borderId="2" xfId="0" applyFont="1" applyFill="1" applyBorder="1" applyAlignment="1">
      <alignment horizontal="left" vertical="center" wrapText="1"/>
    </xf>
    <xf numFmtId="3" fontId="14" fillId="14" borderId="2" xfId="0" applyNumberFormat="1" applyFont="1" applyFill="1" applyBorder="1" applyAlignment="1" applyProtection="1">
      <alignment horizontal="center" vertical="center" wrapText="1"/>
      <protection locked="0"/>
    </xf>
    <xf numFmtId="3" fontId="14" fillId="9" borderId="2" xfId="0" applyNumberFormat="1" applyFont="1" applyFill="1" applyBorder="1" applyAlignment="1" applyProtection="1">
      <alignment horizontal="center" vertical="center" wrapText="1"/>
      <protection locked="0"/>
    </xf>
    <xf numFmtId="3" fontId="23" fillId="18" borderId="2" xfId="0" applyNumberFormat="1" applyFont="1" applyFill="1" applyBorder="1" applyAlignment="1" applyProtection="1">
      <alignment horizontal="center" vertical="center" wrapText="1"/>
      <protection locked="0"/>
    </xf>
    <xf numFmtId="0" fontId="35" fillId="9" borderId="2" xfId="0" applyFont="1" applyFill="1" applyBorder="1" applyAlignment="1" applyProtection="1">
      <alignment horizontal="center" vertical="center" wrapText="1"/>
      <protection locked="0"/>
    </xf>
    <xf numFmtId="0" fontId="49" fillId="15" borderId="2" xfId="0" applyFont="1" applyFill="1" applyBorder="1" applyAlignment="1" applyProtection="1">
      <alignment horizontal="center" vertical="center" wrapText="1"/>
      <protection locked="0"/>
    </xf>
    <xf numFmtId="0" fontId="35" fillId="14" borderId="2" xfId="0" applyFont="1" applyFill="1" applyBorder="1" applyAlignment="1">
      <alignment horizontal="left" vertical="center" wrapText="1"/>
    </xf>
    <xf numFmtId="3" fontId="14" fillId="9" borderId="2" xfId="0" applyNumberFormat="1" applyFont="1" applyFill="1" applyBorder="1" applyAlignment="1">
      <alignment horizontal="center" vertical="center" wrapText="1"/>
    </xf>
    <xf numFmtId="0" fontId="35" fillId="9" borderId="2" xfId="0" applyFont="1" applyFill="1" applyBorder="1" applyAlignment="1">
      <alignment horizontal="center" vertical="center" wrapText="1"/>
    </xf>
    <xf numFmtId="0" fontId="49" fillId="15" borderId="2" xfId="0" applyFont="1" applyFill="1" applyBorder="1" applyAlignment="1">
      <alignment horizontal="center" vertical="center" wrapText="1"/>
    </xf>
    <xf numFmtId="0" fontId="35" fillId="26" borderId="2" xfId="0" applyFont="1" applyFill="1" applyBorder="1" applyAlignment="1">
      <alignment horizontal="left" vertical="center" wrapText="1"/>
    </xf>
    <xf numFmtId="3" fontId="14" fillId="26" borderId="2" xfId="0" applyNumberFormat="1" applyFont="1" applyFill="1" applyBorder="1" applyAlignment="1" applyProtection="1">
      <alignment horizontal="center" vertical="center" wrapText="1"/>
      <protection locked="0"/>
    </xf>
    <xf numFmtId="3" fontId="0" fillId="13" borderId="2" xfId="0" applyNumberFormat="1" applyFill="1" applyBorder="1" applyAlignment="1" applyProtection="1">
      <alignment horizontal="center" vertical="center" wrapText="1"/>
      <protection locked="0"/>
    </xf>
    <xf numFmtId="0" fontId="14" fillId="14" borderId="2" xfId="0" applyFont="1" applyFill="1" applyBorder="1" applyAlignment="1">
      <alignment horizontal="center" vertical="center" wrapText="1"/>
    </xf>
    <xf numFmtId="3" fontId="17" fillId="13" borderId="2" xfId="0" applyNumberFormat="1" applyFont="1" applyFill="1" applyBorder="1" applyAlignment="1" applyProtection="1">
      <alignment horizontal="center" vertical="center" wrapText="1"/>
      <protection locked="0"/>
    </xf>
    <xf numFmtId="3" fontId="17" fillId="12" borderId="2" xfId="0" applyNumberFormat="1" applyFont="1" applyFill="1" applyBorder="1" applyAlignment="1" applyProtection="1">
      <alignment horizontal="center" vertical="center" wrapText="1"/>
      <protection locked="0"/>
    </xf>
    <xf numFmtId="164" fontId="35" fillId="9" borderId="2" xfId="0" applyNumberFormat="1" applyFont="1" applyFill="1" applyBorder="1" applyAlignment="1">
      <alignment horizontal="center" vertical="center" wrapText="1"/>
    </xf>
    <xf numFmtId="0" fontId="50" fillId="10" borderId="2" xfId="0" applyFont="1" applyFill="1" applyBorder="1" applyAlignment="1">
      <alignment horizontal="left" vertical="center" wrapText="1"/>
    </xf>
    <xf numFmtId="0" fontId="14" fillId="16" borderId="2" xfId="0" applyFont="1" applyFill="1" applyBorder="1" applyAlignment="1">
      <alignment horizontal="center" vertical="center" wrapText="1"/>
    </xf>
    <xf numFmtId="3" fontId="14" fillId="16" borderId="2" xfId="0" applyNumberFormat="1" applyFont="1" applyFill="1" applyBorder="1" applyAlignment="1">
      <alignment horizontal="center" vertical="center" wrapText="1"/>
    </xf>
    <xf numFmtId="0" fontId="13" fillId="7" borderId="9" xfId="0" applyFont="1" applyFill="1" applyBorder="1" applyAlignment="1">
      <alignment horizontal="center" vertical="center" wrapText="1"/>
    </xf>
    <xf numFmtId="0" fontId="51" fillId="9" borderId="2" xfId="0" applyFont="1" applyFill="1" applyBorder="1" applyAlignment="1">
      <alignment horizontal="left" vertical="center" wrapText="1"/>
    </xf>
    <xf numFmtId="0" fontId="16" fillId="9" borderId="2" xfId="0" applyFont="1" applyFill="1" applyBorder="1" applyAlignment="1">
      <alignment horizontal="left" vertical="center" wrapText="1"/>
    </xf>
    <xf numFmtId="0" fontId="15" fillId="10" borderId="2" xfId="0" quotePrefix="1" applyFont="1" applyFill="1" applyBorder="1" applyAlignment="1" applyProtection="1">
      <alignment horizontal="left" vertical="center" wrapText="1"/>
      <protection locked="0"/>
    </xf>
    <xf numFmtId="0" fontId="54" fillId="9" borderId="2" xfId="0" applyFont="1" applyFill="1" applyBorder="1" applyAlignment="1" applyProtection="1">
      <alignment horizontal="left" vertical="center" wrapText="1"/>
      <protection locked="0"/>
    </xf>
    <xf numFmtId="0" fontId="55" fillId="10" borderId="2" xfId="0" quotePrefix="1" applyFont="1" applyFill="1" applyBorder="1" applyAlignment="1" applyProtection="1">
      <alignment horizontal="left" vertical="center" wrapText="1"/>
      <protection locked="0"/>
    </xf>
    <xf numFmtId="0" fontId="53" fillId="30" borderId="10" xfId="0" applyFont="1" applyFill="1" applyBorder="1" applyAlignment="1">
      <alignment horizontal="left" vertical="center" wrapText="1"/>
    </xf>
    <xf numFmtId="0" fontId="56" fillId="11" borderId="2" xfId="0" applyFont="1" applyFill="1" applyBorder="1" applyAlignment="1" applyProtection="1">
      <alignment horizontal="center" vertical="center" wrapText="1"/>
      <protection locked="0"/>
    </xf>
    <xf numFmtId="0" fontId="58" fillId="15" borderId="2" xfId="0" applyFont="1" applyFill="1" applyBorder="1" applyAlignment="1" applyProtection="1">
      <alignment horizontal="center" vertical="center" wrapText="1"/>
      <protection locked="0"/>
    </xf>
    <xf numFmtId="0" fontId="57" fillId="12" borderId="2" xfId="0" applyFont="1" applyFill="1" applyBorder="1" applyAlignment="1" applyProtection="1">
      <alignment horizontal="center" vertical="center" wrapText="1"/>
      <protection locked="0"/>
    </xf>
    <xf numFmtId="0" fontId="57" fillId="13" borderId="2" xfId="0" applyFont="1" applyFill="1" applyBorder="1" applyAlignment="1" applyProtection="1">
      <alignment horizontal="center" vertical="center" wrapText="1"/>
      <protection locked="0"/>
    </xf>
    <xf numFmtId="0" fontId="56" fillId="19" borderId="2" xfId="0" applyFont="1" applyFill="1" applyBorder="1" applyAlignment="1" applyProtection="1">
      <alignment horizontal="center" vertical="center" wrapText="1"/>
      <protection locked="0"/>
    </xf>
    <xf numFmtId="0" fontId="59" fillId="16" borderId="2" xfId="0" applyFont="1" applyFill="1" applyBorder="1" applyAlignment="1" applyProtection="1">
      <alignment horizontal="center" vertical="center" wrapText="1"/>
      <protection locked="0"/>
    </xf>
    <xf numFmtId="0" fontId="57" fillId="10" borderId="2" xfId="0" applyFont="1" applyFill="1" applyBorder="1" applyAlignment="1" applyProtection="1">
      <alignment horizontal="left" vertical="center" wrapText="1"/>
      <protection locked="0"/>
    </xf>
    <xf numFmtId="0" fontId="60" fillId="16" borderId="2" xfId="0" applyFont="1" applyFill="1" applyBorder="1" applyAlignment="1" applyProtection="1">
      <alignment horizontal="left" vertical="center" wrapText="1"/>
      <protection locked="0"/>
    </xf>
    <xf numFmtId="0" fontId="57" fillId="12" borderId="2" xfId="0" applyFont="1" applyFill="1" applyBorder="1" applyAlignment="1" applyProtection="1">
      <alignment horizontal="left" vertical="center" wrapText="1"/>
      <protection locked="0"/>
    </xf>
    <xf numFmtId="0" fontId="56" fillId="6" borderId="9" xfId="0" applyFont="1" applyFill="1" applyBorder="1" applyAlignment="1" applyProtection="1">
      <alignment horizontal="center" vertical="center" wrapText="1"/>
      <protection locked="0"/>
    </xf>
    <xf numFmtId="0" fontId="56" fillId="5" borderId="9" xfId="0" applyFont="1" applyFill="1" applyBorder="1" applyAlignment="1" applyProtection="1">
      <alignment horizontal="center" vertical="center" wrapText="1"/>
      <protection locked="0"/>
    </xf>
    <xf numFmtId="0" fontId="54" fillId="13" borderId="2" xfId="0" applyFont="1" applyFill="1" applyBorder="1" applyAlignment="1" applyProtection="1">
      <alignment horizontal="left" vertical="center" wrapText="1"/>
      <protection locked="0"/>
    </xf>
    <xf numFmtId="15" fontId="57" fillId="13" borderId="2" xfId="0" applyNumberFormat="1" applyFont="1" applyFill="1" applyBorder="1" applyAlignment="1" applyProtection="1">
      <alignment horizontal="center" vertical="center" wrapText="1"/>
      <protection locked="0"/>
    </xf>
    <xf numFmtId="0" fontId="29" fillId="2" borderId="0" xfId="0" applyFont="1" applyFill="1" applyAlignment="1">
      <alignment horizontal="center" vertical="center" wrapText="1"/>
    </xf>
    <xf numFmtId="0" fontId="2" fillId="3" borderId="0" xfId="0" applyFont="1" applyFill="1" applyAlignment="1">
      <alignment horizontal="center" vertical="center" wrapText="1"/>
    </xf>
    <xf numFmtId="0" fontId="0" fillId="4" borderId="0" xfId="0" applyFill="1"/>
    <xf numFmtId="0" fontId="3" fillId="2" borderId="0" xfId="0" applyFont="1" applyFill="1" applyAlignment="1">
      <alignment horizontal="center" wrapText="1"/>
    </xf>
    <xf numFmtId="0" fontId="3" fillId="3" borderId="0" xfId="0" applyFont="1" applyFill="1" applyAlignment="1">
      <alignment horizontal="center" wrapText="1"/>
    </xf>
    <xf numFmtId="0" fontId="4" fillId="28" borderId="0" xfId="0" applyFont="1" applyFill="1" applyAlignment="1">
      <alignment horizontal="center" wrapText="1"/>
    </xf>
    <xf numFmtId="0" fontId="4" fillId="6" borderId="0" xfId="0" applyFont="1" applyFill="1" applyAlignment="1">
      <alignment horizontal="center" wrapText="1"/>
    </xf>
    <xf numFmtId="0" fontId="4" fillId="7" borderId="0" xfId="0" applyFont="1" applyFill="1" applyAlignment="1">
      <alignment horizontal="center" wrapText="1"/>
    </xf>
    <xf numFmtId="0" fontId="5" fillId="4" borderId="0" xfId="0" applyFont="1" applyFill="1" applyAlignment="1">
      <alignment horizontal="center" wrapText="1"/>
    </xf>
    <xf numFmtId="0" fontId="45" fillId="4" borderId="0" xfId="0" applyFont="1" applyFill="1" applyAlignment="1">
      <alignment horizontal="center" vertical="center" wrapText="1"/>
    </xf>
    <xf numFmtId="0" fontId="28" fillId="23" borderId="5" xfId="0" applyFont="1" applyFill="1" applyBorder="1" applyAlignment="1" applyProtection="1">
      <alignment horizontal="left" vertical="center" wrapText="1"/>
      <protection locked="0"/>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44" fillId="28" borderId="0" xfId="0" applyFont="1" applyFill="1" applyAlignment="1">
      <alignment horizontal="center" vertical="center" wrapText="1"/>
    </xf>
    <xf numFmtId="0" fontId="44" fillId="6" borderId="0" xfId="0" applyFont="1" applyFill="1" applyAlignment="1">
      <alignment horizontal="center" vertical="center" wrapText="1"/>
    </xf>
    <xf numFmtId="0" fontId="44" fillId="7" borderId="0" xfId="0" applyFont="1" applyFill="1" applyAlignment="1">
      <alignment horizontal="center" vertical="center" wrapText="1"/>
    </xf>
    <xf numFmtId="3" fontId="6" fillId="5" borderId="0" xfId="0" applyNumberFormat="1" applyFont="1" applyFill="1" applyAlignment="1">
      <alignment horizontal="center" vertical="center" wrapText="1"/>
    </xf>
    <xf numFmtId="3" fontId="6" fillId="6" borderId="0" xfId="0" applyNumberFormat="1" applyFont="1" applyFill="1" applyAlignment="1">
      <alignment horizontal="center" vertical="center" wrapText="1"/>
    </xf>
    <xf numFmtId="3" fontId="7" fillId="7" borderId="0" xfId="0" applyNumberFormat="1" applyFont="1" applyFill="1" applyAlignment="1">
      <alignment horizontal="center" vertical="center" wrapText="1"/>
    </xf>
    <xf numFmtId="0" fontId="3" fillId="5" borderId="0" xfId="0" applyFont="1" applyFill="1" applyAlignment="1">
      <alignment horizontal="center" wrapText="1"/>
    </xf>
    <xf numFmtId="0" fontId="3" fillId="6" borderId="0" xfId="0" applyFont="1" applyFill="1" applyAlignment="1">
      <alignment horizontal="center" wrapText="1"/>
    </xf>
    <xf numFmtId="0" fontId="3" fillId="8" borderId="0" xfId="0" applyFont="1" applyFill="1" applyAlignment="1">
      <alignment horizontal="center" wrapText="1"/>
    </xf>
    <xf numFmtId="0" fontId="13" fillId="7" borderId="3" xfId="0" applyFont="1" applyFill="1" applyBorder="1" applyAlignment="1" applyProtection="1">
      <alignment horizontal="center" vertical="center" wrapText="1"/>
      <protection locked="0"/>
    </xf>
    <xf numFmtId="0" fontId="6" fillId="8" borderId="0" xfId="0" applyFont="1" applyFill="1" applyAlignment="1">
      <alignment horizontal="center" vertical="center" wrapText="1"/>
    </xf>
    <xf numFmtId="0" fontId="6" fillId="2" borderId="0" xfId="0" applyFont="1" applyFill="1" applyAlignment="1">
      <alignment horizontal="center" vertical="center" wrapText="1"/>
    </xf>
    <xf numFmtId="164" fontId="6" fillId="3" borderId="0" xfId="0" applyNumberFormat="1" applyFont="1" applyFill="1" applyAlignment="1">
      <alignment horizontal="center" vertical="center" wrapText="1"/>
    </xf>
    <xf numFmtId="165" fontId="8" fillId="4" borderId="0" xfId="0" applyNumberFormat="1" applyFont="1" applyFill="1" applyAlignment="1">
      <alignment horizontal="center" vertical="center" wrapText="1"/>
    </xf>
    <xf numFmtId="0" fontId="9" fillId="2" borderId="0" xfId="0" applyFont="1" applyFill="1" applyAlignment="1">
      <alignment horizontal="center" vertical="top"/>
    </xf>
    <xf numFmtId="0" fontId="9" fillId="3" borderId="0" xfId="0" applyFont="1" applyFill="1" applyAlignment="1">
      <alignment horizontal="center" vertical="top"/>
    </xf>
    <xf numFmtId="0" fontId="9" fillId="5" borderId="0" xfId="0" applyFont="1" applyFill="1" applyAlignment="1">
      <alignment horizontal="center" vertical="top"/>
    </xf>
    <xf numFmtId="0" fontId="9" fillId="6" borderId="0" xfId="0" applyFont="1" applyFill="1" applyAlignment="1">
      <alignment horizontal="center" vertical="top"/>
    </xf>
    <xf numFmtId="0" fontId="10" fillId="7" borderId="0" xfId="0" applyFont="1" applyFill="1" applyAlignment="1">
      <alignment horizontal="center" vertical="top"/>
    </xf>
    <xf numFmtId="0" fontId="9" fillId="8" borderId="0" xfId="0" applyFont="1" applyFill="1" applyAlignment="1">
      <alignment horizontal="center" vertical="top"/>
    </xf>
    <xf numFmtId="0" fontId="11" fillId="4" borderId="0" xfId="0" applyFont="1" applyFill="1" applyAlignment="1">
      <alignment horizontal="center" vertical="top"/>
    </xf>
    <xf numFmtId="3" fontId="6" fillId="3" borderId="0" xfId="0" applyNumberFormat="1" applyFont="1" applyFill="1" applyAlignment="1">
      <alignment horizontal="center" vertical="center" wrapText="1"/>
    </xf>
    <xf numFmtId="3" fontId="30" fillId="3" borderId="0" xfId="0" applyNumberFormat="1" applyFont="1" applyFill="1" applyAlignment="1">
      <alignment horizontal="center" vertical="center" wrapText="1"/>
    </xf>
    <xf numFmtId="3" fontId="30" fillId="5" borderId="0" xfId="0" applyNumberFormat="1" applyFont="1" applyFill="1" applyAlignment="1">
      <alignment horizontal="center" vertical="center" wrapText="1"/>
    </xf>
    <xf numFmtId="3" fontId="30" fillId="6" borderId="0" xfId="0" applyNumberFormat="1" applyFont="1" applyFill="1" applyAlignment="1">
      <alignment horizontal="center" vertical="center" wrapText="1"/>
    </xf>
    <xf numFmtId="3" fontId="31" fillId="7" borderId="0" xfId="0" applyNumberFormat="1" applyFont="1" applyFill="1" applyAlignment="1">
      <alignment horizontal="center" vertical="center" wrapText="1"/>
    </xf>
    <xf numFmtId="165" fontId="32" fillId="4" borderId="0" xfId="0" applyNumberFormat="1" applyFont="1" applyFill="1" applyAlignment="1">
      <alignment horizontal="center" vertical="center" wrapText="1"/>
    </xf>
    <xf numFmtId="0" fontId="3" fillId="24" borderId="0" xfId="0" applyFont="1" applyFill="1" applyAlignment="1">
      <alignment horizontal="center" wrapText="1"/>
    </xf>
    <xf numFmtId="0" fontId="30" fillId="2" borderId="0" xfId="0" applyFont="1" applyFill="1" applyAlignment="1">
      <alignment horizontal="center" vertical="center" wrapText="1"/>
    </xf>
    <xf numFmtId="1" fontId="30" fillId="5" borderId="0" xfId="0" applyNumberFormat="1" applyFont="1" applyFill="1" applyAlignment="1">
      <alignment horizontal="center" vertical="center" wrapText="1"/>
    </xf>
    <xf numFmtId="1" fontId="30" fillId="24" borderId="0" xfId="0" applyNumberFormat="1" applyFont="1" applyFill="1" applyAlignment="1">
      <alignment horizontal="center" vertical="center" wrapText="1"/>
    </xf>
    <xf numFmtId="0" fontId="30" fillId="3" borderId="0" xfId="0" applyFont="1" applyFill="1" applyAlignment="1">
      <alignment horizontal="center" vertical="center" wrapText="1"/>
    </xf>
    <xf numFmtId="0" fontId="30" fillId="8" borderId="0" xfId="0" applyFont="1" applyFill="1" applyAlignment="1">
      <alignment horizontal="center" vertical="center" wrapText="1"/>
    </xf>
    <xf numFmtId="0" fontId="9" fillId="24" borderId="0" xfId="0" applyFont="1" applyFill="1" applyAlignment="1">
      <alignment horizontal="center" vertical="top"/>
    </xf>
    <xf numFmtId="0" fontId="33" fillId="3" borderId="0" xfId="0" applyFont="1" applyFill="1" applyAlignment="1">
      <alignment horizontal="left" vertical="center" wrapText="1"/>
    </xf>
    <xf numFmtId="0" fontId="12" fillId="3" borderId="6" xfId="0" applyFont="1" applyFill="1" applyBorder="1" applyAlignment="1">
      <alignment horizontal="center" vertical="center" wrapText="1"/>
    </xf>
    <xf numFmtId="0" fontId="13" fillId="20" borderId="7" xfId="0" applyFont="1" applyFill="1" applyBorder="1" applyAlignment="1">
      <alignment horizontal="center" vertical="center" wrapText="1"/>
    </xf>
    <xf numFmtId="0" fontId="34" fillId="9" borderId="8" xfId="0" applyFont="1" applyFill="1" applyBorder="1" applyAlignment="1">
      <alignment horizontal="center" vertical="center" wrapText="1"/>
    </xf>
    <xf numFmtId="3" fontId="35" fillId="9" borderId="0" xfId="0" applyNumberFormat="1" applyFont="1" applyFill="1" applyAlignment="1">
      <alignment horizontal="center" vertical="center" wrapText="1"/>
    </xf>
    <xf numFmtId="3" fontId="14" fillId="14" borderId="0" xfId="0" applyNumberFormat="1" applyFont="1" applyFill="1" applyAlignment="1">
      <alignment horizontal="center" vertical="center" wrapText="1"/>
    </xf>
    <xf numFmtId="165" fontId="35" fillId="9" borderId="0" xfId="0" applyNumberFormat="1" applyFont="1" applyFill="1" applyAlignment="1">
      <alignment horizontal="center" vertical="center" wrapText="1"/>
    </xf>
    <xf numFmtId="0" fontId="13" fillId="21"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3" fillId="19" borderId="7" xfId="0" applyFont="1" applyFill="1" applyBorder="1" applyAlignment="1">
      <alignment horizontal="center" vertical="center" wrapText="1"/>
    </xf>
    <xf numFmtId="0" fontId="13" fillId="17" borderId="7" xfId="0" applyFont="1" applyFill="1" applyBorder="1" applyAlignment="1">
      <alignment horizontal="center" vertical="center" wrapText="1"/>
    </xf>
    <xf numFmtId="0" fontId="13" fillId="5" borderId="7" xfId="0" applyFont="1" applyFill="1" applyBorder="1" applyAlignment="1">
      <alignment horizontal="center" vertical="center" wrapText="1"/>
    </xf>
    <xf numFmtId="0" fontId="13" fillId="25" borderId="7" xfId="0" applyFont="1" applyFill="1" applyBorder="1" applyAlignment="1">
      <alignment horizontal="center" vertical="center" wrapText="1"/>
    </xf>
    <xf numFmtId="0" fontId="13" fillId="17" borderId="0" xfId="0" applyFont="1" applyFill="1" applyAlignment="1">
      <alignment horizontal="center" vertical="center" wrapText="1"/>
    </xf>
    <xf numFmtId="0" fontId="34" fillId="9" borderId="0" xfId="0" applyFont="1" applyFill="1" applyAlignment="1">
      <alignment horizontal="center" vertical="center" wrapText="1"/>
    </xf>
    <xf numFmtId="3" fontId="35" fillId="14" borderId="0" xfId="0" applyNumberFormat="1" applyFont="1" applyFill="1" applyAlignment="1">
      <alignment horizontal="center" vertical="center" wrapText="1"/>
    </xf>
    <xf numFmtId="3" fontId="36" fillId="16" borderId="0" xfId="0" applyNumberFormat="1" applyFont="1" applyFill="1" applyAlignment="1">
      <alignment horizontal="center" vertical="center" wrapText="1"/>
    </xf>
    <xf numFmtId="3" fontId="37" fillId="18" borderId="0" xfId="0" applyNumberFormat="1" applyFont="1" applyFill="1" applyAlignment="1">
      <alignment horizontal="center" vertical="center" wrapText="1"/>
    </xf>
    <xf numFmtId="0" fontId="34" fillId="14" borderId="6" xfId="0" applyFont="1" applyFill="1" applyBorder="1" applyAlignment="1">
      <alignment horizontal="left" vertical="center" wrapText="1"/>
    </xf>
    <xf numFmtId="0" fontId="38" fillId="9" borderId="6" xfId="0" applyFont="1" applyFill="1" applyBorder="1" applyAlignment="1">
      <alignment horizontal="left" vertical="center" wrapText="1"/>
    </xf>
    <xf numFmtId="0" fontId="39" fillId="26" borderId="6" xfId="0" applyFont="1" applyFill="1" applyBorder="1" applyAlignment="1">
      <alignment horizontal="left" vertical="center" wrapText="1"/>
    </xf>
    <xf numFmtId="0" fontId="2" fillId="2" borderId="0" xfId="0" applyFont="1" applyFill="1" applyAlignment="1">
      <alignment horizontal="center" vertical="center" wrapText="1"/>
    </xf>
    <xf numFmtId="0" fontId="13" fillId="19" borderId="0" xfId="0" applyFont="1" applyFill="1" applyAlignment="1">
      <alignment horizontal="center" vertical="center" wrapText="1"/>
    </xf>
    <xf numFmtId="0" fontId="13" fillId="11" borderId="0" xfId="0" applyFont="1" applyFill="1" applyAlignment="1">
      <alignment horizontal="center" vertical="center" wrapText="1"/>
    </xf>
    <xf numFmtId="0" fontId="40" fillId="2" borderId="4" xfId="0" applyFont="1" applyFill="1" applyBorder="1" applyAlignment="1">
      <alignment horizontal="center" vertical="center" wrapText="1"/>
    </xf>
    <xf numFmtId="0" fontId="4" fillId="3" borderId="0" xfId="0" applyFont="1" applyFill="1" applyAlignment="1">
      <alignment horizontal="center"/>
    </xf>
    <xf numFmtId="0" fontId="41" fillId="2" borderId="6" xfId="0" applyFont="1" applyFill="1" applyBorder="1" applyAlignment="1">
      <alignment horizontal="center" vertical="center" wrapText="1"/>
    </xf>
    <xf numFmtId="3" fontId="41" fillId="2" borderId="6" xfId="0" applyNumberFormat="1" applyFont="1" applyFill="1" applyBorder="1" applyAlignment="1">
      <alignment horizontal="center" vertical="center" wrapText="1"/>
    </xf>
    <xf numFmtId="0" fontId="43" fillId="27" borderId="4" xfId="0" applyFont="1" applyFill="1" applyBorder="1" applyAlignment="1">
      <alignment horizontal="center" vertical="center" wrapText="1"/>
    </xf>
    <xf numFmtId="0" fontId="0" fillId="9" borderId="0" xfId="0" applyFill="1"/>
    <xf numFmtId="0" fontId="48" fillId="15" borderId="0" xfId="0" applyFont="1" applyFill="1" applyAlignment="1">
      <alignment horizontal="left" vertical="center" wrapText="1"/>
    </xf>
    <xf numFmtId="0" fontId="48" fillId="15" borderId="8" xfId="0" applyFont="1" applyFill="1" applyBorder="1" applyAlignment="1">
      <alignment horizontal="left" vertical="center" wrapText="1"/>
    </xf>
    <xf numFmtId="0" fontId="13" fillId="3" borderId="0" xfId="0" applyFont="1" applyFill="1" applyAlignment="1">
      <alignment horizontal="left" vertical="center" wrapText="1"/>
    </xf>
    <xf numFmtId="0" fontId="13" fillId="7" borderId="0" xfId="0" applyFont="1" applyFill="1" applyAlignment="1">
      <alignment horizontal="left" vertical="center" wrapText="1"/>
    </xf>
    <xf numFmtId="0" fontId="24" fillId="15" borderId="8" xfId="0" applyFont="1" applyFill="1" applyBorder="1" applyAlignment="1">
      <alignment horizontal="left" vertical="center" wrapText="1"/>
    </xf>
    <xf numFmtId="0" fontId="24" fillId="16" borderId="8" xfId="0" applyFont="1" applyFill="1" applyBorder="1" applyAlignment="1">
      <alignment horizontal="left" vertical="center" wrapText="1"/>
    </xf>
    <xf numFmtId="1" fontId="17" fillId="13" borderId="8" xfId="0" applyNumberFormat="1" applyFont="1" applyFill="1" applyBorder="1" applyAlignment="1" applyProtection="1">
      <alignment horizontal="left" vertical="center" wrapText="1"/>
      <protection locked="0"/>
    </xf>
    <xf numFmtId="0" fontId="52" fillId="9" borderId="8" xfId="0" applyFont="1" applyFill="1" applyBorder="1" applyAlignment="1">
      <alignment horizontal="left" vertical="center" wrapText="1"/>
    </xf>
    <xf numFmtId="3" fontId="17" fillId="13" borderId="8" xfId="0" applyNumberFormat="1" applyFont="1" applyFill="1" applyBorder="1" applyAlignment="1" applyProtection="1">
      <alignment horizontal="left" vertical="center" wrapText="1"/>
      <protection locked="0"/>
    </xf>
    <xf numFmtId="0" fontId="14" fillId="10" borderId="8" xfId="0" applyFont="1" applyFill="1" applyBorder="1" applyAlignment="1">
      <alignment horizontal="left" vertical="center" wrapText="1"/>
    </xf>
  </cellXfs>
  <cellStyles count="1">
    <cellStyle name="Normal" xfId="0" builtinId="0"/>
  </cellStyles>
  <dxfs count="6">
    <dxf>
      <font>
        <b/>
        <color rgb="FF991B1B"/>
      </font>
      <fill>
        <patternFill>
          <bgColor rgb="FFFEE2E2"/>
        </patternFill>
      </fill>
    </dxf>
    <dxf>
      <fill>
        <patternFill>
          <bgColor rgb="FFFEF3C7"/>
        </patternFill>
      </fill>
    </dxf>
    <dxf>
      <font>
        <b/>
        <color rgb="FF991B1B"/>
      </font>
      <fill>
        <patternFill>
          <bgColor rgb="FFFEE2E2"/>
        </patternFill>
      </fill>
    </dxf>
    <dxf>
      <font>
        <b/>
        <color rgb="FF166534"/>
      </font>
      <fill>
        <patternFill>
          <bgColor rgb="FFDCFCE7"/>
        </patternFill>
      </fill>
    </dxf>
    <dxf>
      <font>
        <color rgb="FF9CA3AF"/>
      </font>
      <fill>
        <patternFill>
          <bgColor rgb="FFF3F4F6"/>
        </patternFill>
      </fill>
    </dxf>
    <dxf>
      <fill>
        <patternFill>
          <bgColor rgb="FFDCFCE7"/>
        </patternFill>
      </fill>
    </dxf>
  </dxfs>
  <tableStyles count="0" defaultTableStyle="TableStyleMedium2" defaultPivotStyle="PivotStyleLight16"/>
  <colors>
    <indexedColors>
      <rgbColor rgb="FF000000"/>
      <rgbColor rgb="FFFFFFFF"/>
      <rgbColor rgb="FFDC2626"/>
      <rgbColor rgb="FF00FF00"/>
      <rgbColor rgb="FF0000CC"/>
      <rgbColor rgb="FFFFFBF0"/>
      <rgbColor rgb="FFFF00FF"/>
      <rgbColor rgb="FF00FFFF"/>
      <rgbColor rgb="FF991B1B"/>
      <rgbColor rgb="FF166534"/>
      <rgbColor rgb="FF000080"/>
      <rgbColor rgb="FF9A7B2F"/>
      <rgbColor rgb="FF5B21B6"/>
      <rgbColor rgb="FF0F766E"/>
      <rgbColor rgb="FFD9D9D9"/>
      <rgbColor rgb="FF878787"/>
      <rgbColor rgb="FFEFF6FF"/>
      <rgbColor rgb="FF7C3AED"/>
      <rgbColor rgb="FFFEF3C7"/>
      <rgbColor rgb="FFCCFBF1"/>
      <rgbColor rgb="FF660066"/>
      <rgbColor rgb="FFFF8080"/>
      <rgbColor rgb="FF334155"/>
      <rgbColor rgb="FFCBD0DC"/>
      <rgbColor rgb="FF000080"/>
      <rgbColor rgb="FFFF00FF"/>
      <rgbColor rgb="FFFAFBFD"/>
      <rgbColor rgb="FF00FFFF"/>
      <rgbColor rgb="FF800080"/>
      <rgbColor rgb="FF800000"/>
      <rgbColor rgb="FF059669"/>
      <rgbColor rgb="FF0000FF"/>
      <rgbColor rgb="FF00CCFF"/>
      <rgbColor rgb="FFDCFCE7"/>
      <rgbColor rgb="FFF0F3F8"/>
      <rgbColor rgb="FFFFEDD5"/>
      <rgbColor rgb="FFEDE9FE"/>
      <rgbColor rgb="FFFEE2E2"/>
      <rgbColor rgb="FFF3F4F6"/>
      <rgbColor rgb="FFF5E6C8"/>
      <rgbColor rgb="FF2563EB"/>
      <rgbColor rgb="FF33CCCC"/>
      <rgbColor rgb="FF99CC00"/>
      <rgbColor rgb="FFFFCC00"/>
      <rgbColor rgb="FFC9A84C"/>
      <rgbColor rgb="FFD97706"/>
      <rgbColor rgb="FF6B7280"/>
      <rgbColor rgb="FF9CA3AF"/>
      <rgbColor rgb="FF1C2D5A"/>
      <rgbColor rgb="FF339966"/>
      <rgbColor rgb="FF0D1B3E"/>
      <rgbColor rgb="FF1B4332"/>
      <rgbColor rgb="FF9A3412"/>
      <rgbColor rgb="FF993366"/>
      <rgbColor rgb="FF1E40AF"/>
      <rgbColor rgb="FF24335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Pipeline Trend — Monthly Movement (GHS)</a:t>
            </a:r>
          </a:p>
        </c:rich>
      </c:tx>
      <c:overlay val="0"/>
      <c:spPr>
        <a:noFill/>
        <a:ln w="0">
          <a:noFill/>
        </a:ln>
      </c:spPr>
    </c:title>
    <c:autoTitleDeleted val="0"/>
    <c:plotArea>
      <c:layout/>
      <c:lineChart>
        <c:grouping val="standard"/>
        <c:varyColors val="0"/>
        <c:ser>
          <c:idx val="0"/>
          <c:order val="0"/>
          <c:tx>
            <c:v>Grand Total</c:v>
          </c:tx>
          <c:spPr>
            <a:ln w="24840">
              <a:solidFill>
                <a:srgbClr val="0D1B3E"/>
              </a:solidFill>
              <a:round/>
            </a:ln>
          </c:spPr>
          <c:marker>
            <c:symbol val="circle"/>
            <c:size val="5"/>
            <c:spPr>
              <a:solidFill>
                <a:srgbClr val="0D1B3E"/>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 Trend'!$A$6:$A$17</c:f>
              <c:strCache>
                <c:ptCount val="12"/>
                <c:pt idx="0">
                  <c:v>Jan 2026</c:v>
                </c:pt>
                <c:pt idx="1">
                  <c:v>Feb 2026</c:v>
                </c:pt>
                <c:pt idx="2">
                  <c:v>Mar 2026</c:v>
                </c:pt>
                <c:pt idx="3">
                  <c:v>April 2026</c:v>
                </c:pt>
                <c:pt idx="4">
                  <c:v>May 2026</c:v>
                </c:pt>
                <c:pt idx="5">
                  <c:v>June 2026</c:v>
                </c:pt>
                <c:pt idx="6">
                  <c:v>July 2026</c:v>
                </c:pt>
                <c:pt idx="7">
                  <c:v>August 2026</c:v>
                </c:pt>
                <c:pt idx="8">
                  <c:v>September 2026</c:v>
                </c:pt>
                <c:pt idx="9">
                  <c:v>October 2026</c:v>
                </c:pt>
                <c:pt idx="10">
                  <c:v>November 2026</c:v>
                </c:pt>
                <c:pt idx="11">
                  <c:v>December 2026</c:v>
                </c:pt>
              </c:strCache>
            </c:strRef>
          </c:cat>
          <c:val>
            <c:numRef>
              <c:f>'📈 Trend'!$B$6:$B$17</c:f>
              <c:numCache>
                <c:formatCode>#,##0</c:formatCode>
                <c:ptCount val="12"/>
                <c:pt idx="0">
                  <c:v>195000</c:v>
                </c:pt>
                <c:pt idx="1">
                  <c:v>295000</c:v>
                </c:pt>
                <c:pt idx="2">
                  <c:v>455000</c:v>
                </c:pt>
                <c:pt idx="3">
                  <c:v>694500</c:v>
                </c:pt>
                <c:pt idx="4">
                  <c:v>0</c:v>
                </c:pt>
              </c:numCache>
            </c:numRef>
          </c:val>
          <c:smooth val="1"/>
          <c:extLst>
            <c:ext xmlns:c16="http://schemas.microsoft.com/office/drawing/2014/chart" uri="{C3380CC4-5D6E-409C-BE32-E72D297353CC}">
              <c16:uniqueId val="{00000000-6DDE-4174-9F1E-24193C045A18}"/>
            </c:ext>
          </c:extLst>
        </c:ser>
        <c:ser>
          <c:idx val="1"/>
          <c:order val="1"/>
          <c:tx>
            <c:v>Net Total</c:v>
          </c:tx>
          <c:spPr>
            <a:ln w="24840">
              <a:solidFill>
                <a:srgbClr val="C9A84C"/>
              </a:solidFill>
              <a:round/>
            </a:ln>
          </c:spPr>
          <c:marker>
            <c:symbol val="circle"/>
            <c:size val="5"/>
            <c:spPr>
              <a:solidFill>
                <a:srgbClr val="C9A84C"/>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 Trend'!$A$6:$A$17</c:f>
              <c:strCache>
                <c:ptCount val="12"/>
                <c:pt idx="0">
                  <c:v>Jan 2026</c:v>
                </c:pt>
                <c:pt idx="1">
                  <c:v>Feb 2026</c:v>
                </c:pt>
                <c:pt idx="2">
                  <c:v>Mar 2026</c:v>
                </c:pt>
                <c:pt idx="3">
                  <c:v>April 2026</c:v>
                </c:pt>
                <c:pt idx="4">
                  <c:v>May 2026</c:v>
                </c:pt>
                <c:pt idx="5">
                  <c:v>June 2026</c:v>
                </c:pt>
                <c:pt idx="6">
                  <c:v>July 2026</c:v>
                </c:pt>
                <c:pt idx="7">
                  <c:v>August 2026</c:v>
                </c:pt>
                <c:pt idx="8">
                  <c:v>September 2026</c:v>
                </c:pt>
                <c:pt idx="9">
                  <c:v>October 2026</c:v>
                </c:pt>
                <c:pt idx="10">
                  <c:v>November 2026</c:v>
                </c:pt>
                <c:pt idx="11">
                  <c:v>December 2026</c:v>
                </c:pt>
              </c:strCache>
            </c:strRef>
          </c:cat>
          <c:val>
            <c:numRef>
              <c:f>'📈 Trend'!$C$6:$C$17</c:f>
              <c:numCache>
                <c:formatCode>#,##0</c:formatCode>
                <c:ptCount val="12"/>
                <c:pt idx="0">
                  <c:v>175000</c:v>
                </c:pt>
                <c:pt idx="1">
                  <c:v>265000</c:v>
                </c:pt>
                <c:pt idx="2">
                  <c:v>410000</c:v>
                </c:pt>
                <c:pt idx="3">
                  <c:v>660000</c:v>
                </c:pt>
                <c:pt idx="4">
                  <c:v>0</c:v>
                </c:pt>
              </c:numCache>
            </c:numRef>
          </c:val>
          <c:smooth val="1"/>
          <c:extLst>
            <c:ext xmlns:c16="http://schemas.microsoft.com/office/drawing/2014/chart" uri="{C3380CC4-5D6E-409C-BE32-E72D297353CC}">
              <c16:uniqueId val="{00000001-6DDE-4174-9F1E-24193C045A18}"/>
            </c:ext>
          </c:extLst>
        </c:ser>
        <c:ser>
          <c:idx val="2"/>
          <c:order val="2"/>
          <c:tx>
            <c:v>Collected</c:v>
          </c:tx>
          <c:spPr>
            <a:ln w="24840">
              <a:solidFill>
                <a:srgbClr val="166534"/>
              </a:solidFill>
              <a:round/>
            </a:ln>
          </c:spPr>
          <c:marker>
            <c:symbol val="diamond"/>
            <c:size val="5"/>
            <c:spPr>
              <a:solidFill>
                <a:srgbClr val="166534"/>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 Trend'!$A$6:$A$17</c:f>
              <c:strCache>
                <c:ptCount val="12"/>
                <c:pt idx="0">
                  <c:v>Jan 2026</c:v>
                </c:pt>
                <c:pt idx="1">
                  <c:v>Feb 2026</c:v>
                </c:pt>
                <c:pt idx="2">
                  <c:v>Mar 2026</c:v>
                </c:pt>
                <c:pt idx="3">
                  <c:v>April 2026</c:v>
                </c:pt>
                <c:pt idx="4">
                  <c:v>May 2026</c:v>
                </c:pt>
                <c:pt idx="5">
                  <c:v>June 2026</c:v>
                </c:pt>
                <c:pt idx="6">
                  <c:v>July 2026</c:v>
                </c:pt>
                <c:pt idx="7">
                  <c:v>August 2026</c:v>
                </c:pt>
                <c:pt idx="8">
                  <c:v>September 2026</c:v>
                </c:pt>
                <c:pt idx="9">
                  <c:v>October 2026</c:v>
                </c:pt>
                <c:pt idx="10">
                  <c:v>November 2026</c:v>
                </c:pt>
                <c:pt idx="11">
                  <c:v>December 2026</c:v>
                </c:pt>
              </c:strCache>
            </c:strRef>
          </c:cat>
          <c:val>
            <c:numRef>
              <c:f>'📈 Trend'!$D$6:$D$17</c:f>
              <c:numCache>
                <c:formatCode>#,##0</c:formatCode>
                <c:ptCount val="12"/>
                <c:pt idx="0">
                  <c:v>0</c:v>
                </c:pt>
                <c:pt idx="1">
                  <c:v>0</c:v>
                </c:pt>
                <c:pt idx="2">
                  <c:v>11000</c:v>
                </c:pt>
                <c:pt idx="3">
                  <c:v>0</c:v>
                </c:pt>
                <c:pt idx="4">
                  <c:v>0</c:v>
                </c:pt>
              </c:numCache>
            </c:numRef>
          </c:val>
          <c:smooth val="1"/>
          <c:extLst>
            <c:ext xmlns:c16="http://schemas.microsoft.com/office/drawing/2014/chart" uri="{C3380CC4-5D6E-409C-BE32-E72D297353CC}">
              <c16:uniqueId val="{00000002-6DDE-4174-9F1E-24193C045A18}"/>
            </c:ext>
          </c:extLst>
        </c:ser>
        <c:ser>
          <c:idx val="3"/>
          <c:order val="3"/>
          <c:tx>
            <c:v>Outstanding</c:v>
          </c:tx>
          <c:spPr>
            <a:ln w="24840">
              <a:solidFill>
                <a:srgbClr val="991B1B"/>
              </a:solidFill>
              <a:round/>
            </a:ln>
          </c:spPr>
          <c:marker>
            <c:symbol val="diamond"/>
            <c:size val="5"/>
            <c:spPr>
              <a:solidFill>
                <a:srgbClr val="991B1B"/>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 Trend'!$A$6:$A$17</c:f>
              <c:strCache>
                <c:ptCount val="12"/>
                <c:pt idx="0">
                  <c:v>Jan 2026</c:v>
                </c:pt>
                <c:pt idx="1">
                  <c:v>Feb 2026</c:v>
                </c:pt>
                <c:pt idx="2">
                  <c:v>Mar 2026</c:v>
                </c:pt>
                <c:pt idx="3">
                  <c:v>April 2026</c:v>
                </c:pt>
                <c:pt idx="4">
                  <c:v>May 2026</c:v>
                </c:pt>
                <c:pt idx="5">
                  <c:v>June 2026</c:v>
                </c:pt>
                <c:pt idx="6">
                  <c:v>July 2026</c:v>
                </c:pt>
                <c:pt idx="7">
                  <c:v>August 2026</c:v>
                </c:pt>
                <c:pt idx="8">
                  <c:v>September 2026</c:v>
                </c:pt>
                <c:pt idx="9">
                  <c:v>October 2026</c:v>
                </c:pt>
                <c:pt idx="10">
                  <c:v>November 2026</c:v>
                </c:pt>
                <c:pt idx="11">
                  <c:v>December 2026</c:v>
                </c:pt>
              </c:strCache>
            </c:strRef>
          </c:cat>
          <c:val>
            <c:numRef>
              <c:f>'📈 Trend'!$E$6:$E$17</c:f>
              <c:numCache>
                <c:formatCode>#,##0</c:formatCode>
                <c:ptCount val="12"/>
                <c:pt idx="0">
                  <c:v>195000</c:v>
                </c:pt>
                <c:pt idx="1">
                  <c:v>295000</c:v>
                </c:pt>
                <c:pt idx="2">
                  <c:v>444000</c:v>
                </c:pt>
                <c:pt idx="3">
                  <c:v>694500</c:v>
                </c:pt>
                <c:pt idx="4">
                  <c:v>0</c:v>
                </c:pt>
              </c:numCache>
            </c:numRef>
          </c:val>
          <c:smooth val="1"/>
          <c:extLst>
            <c:ext xmlns:c16="http://schemas.microsoft.com/office/drawing/2014/chart" uri="{C3380CC4-5D6E-409C-BE32-E72D297353CC}">
              <c16:uniqueId val="{00000003-6DDE-4174-9F1E-24193C045A18}"/>
            </c:ext>
          </c:extLst>
        </c:ser>
        <c:dLbls>
          <c:showLegendKey val="0"/>
          <c:showVal val="0"/>
          <c:showCatName val="0"/>
          <c:showSerName val="0"/>
          <c:showPercent val="0"/>
          <c:showBubbleSize val="0"/>
        </c:dLbls>
        <c:hiLowLines>
          <c:spPr>
            <a:ln w="0">
              <a:noFill/>
            </a:ln>
          </c:spPr>
        </c:hiLowLines>
        <c:marker val="1"/>
        <c:smooth val="0"/>
        <c:axId val="44024127"/>
        <c:axId val="70732799"/>
      </c:lineChart>
      <c:catAx>
        <c:axId val="44024127"/>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Month</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0732799"/>
        <c:crosses val="autoZero"/>
        <c:auto val="1"/>
        <c:lblAlgn val="ctr"/>
        <c:lblOffset val="100"/>
        <c:noMultiLvlLbl val="0"/>
      </c:catAx>
      <c:valAx>
        <c:axId val="7073279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Value (GHS)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0241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20</xdr:row>
      <xdr:rowOff>0</xdr:rowOff>
    </xdr:from>
    <xdr:to>
      <xdr:col>10</xdr:col>
      <xdr:colOff>476280</xdr:colOff>
      <xdr:row>38</xdr:row>
      <xdr:rowOff>257760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9"/>
  <sheetViews>
    <sheetView showGridLines="0" zoomScale="82" zoomScaleNormal="82" workbookViewId="0">
      <pane ySplit="7" topLeftCell="A13" activePane="bottomLeft" state="frozen"/>
      <selection pane="bottomLeft" activeCell="M17" sqref="M17"/>
    </sheetView>
  </sheetViews>
  <sheetFormatPr defaultColWidth="8.6328125" defaultRowHeight="14.5" x14ac:dyDescent="0.35"/>
  <cols>
    <col min="1" max="1" width="4" customWidth="1"/>
    <col min="2" max="2" width="20" customWidth="1"/>
    <col min="3" max="3" width="15" customWidth="1"/>
    <col min="4" max="4" width="11" customWidth="1"/>
    <col min="5" max="5" width="13" customWidth="1"/>
    <col min="6" max="6" width="11" customWidth="1"/>
    <col min="7" max="7" width="9" customWidth="1"/>
    <col min="8" max="8" width="13" customWidth="1"/>
    <col min="9" max="9" width="14" customWidth="1"/>
    <col min="10" max="10" width="12" customWidth="1"/>
    <col min="11" max="11" width="14" customWidth="1"/>
    <col min="12" max="12" width="11" customWidth="1"/>
    <col min="13" max="13" width="12" customWidth="1"/>
    <col min="14" max="14" width="14" customWidth="1"/>
    <col min="15" max="15" width="8" customWidth="1"/>
    <col min="16" max="16" width="9" customWidth="1"/>
    <col min="17" max="17" width="12" customWidth="1"/>
    <col min="18" max="18" width="13" customWidth="1"/>
    <col min="19" max="19" width="22" customWidth="1"/>
    <col min="20" max="20" width="28" customWidth="1"/>
  </cols>
  <sheetData>
    <row r="1" spans="1:20" ht="39.75" customHeight="1" x14ac:dyDescent="0.35">
      <c r="A1" s="131" t="s">
        <v>0</v>
      </c>
      <c r="B1" s="131"/>
      <c r="C1" s="131"/>
      <c r="D1" s="131"/>
      <c r="E1" s="131"/>
      <c r="F1" s="131"/>
      <c r="G1" s="131"/>
      <c r="H1" s="131"/>
      <c r="I1" s="131"/>
      <c r="J1" s="131"/>
      <c r="K1" s="131"/>
      <c r="L1" s="131"/>
      <c r="M1" s="131"/>
      <c r="N1" s="131"/>
      <c r="O1" s="131"/>
      <c r="P1" s="131"/>
      <c r="Q1" s="131"/>
      <c r="R1" s="131"/>
      <c r="S1" s="131"/>
      <c r="T1" s="131"/>
    </row>
    <row r="2" spans="1:20" ht="18" customHeight="1" x14ac:dyDescent="0.35">
      <c r="A2" s="121" t="s">
        <v>1</v>
      </c>
      <c r="B2" s="121"/>
      <c r="C2" s="121"/>
      <c r="D2" s="121"/>
      <c r="E2" s="121"/>
      <c r="F2" s="121"/>
      <c r="G2" s="121"/>
      <c r="H2" s="121"/>
      <c r="I2" s="121"/>
      <c r="J2" s="121"/>
      <c r="K2" s="121"/>
      <c r="L2" s="121"/>
      <c r="M2" s="121"/>
      <c r="N2" s="121"/>
      <c r="O2" s="121"/>
      <c r="P2" s="121"/>
      <c r="Q2" s="121"/>
      <c r="R2" s="121"/>
      <c r="S2" s="121"/>
      <c r="T2" s="121"/>
    </row>
    <row r="3" spans="1:20" ht="4.5" customHeight="1" x14ac:dyDescent="0.35">
      <c r="A3" s="122"/>
      <c r="B3" s="122"/>
      <c r="C3" s="122"/>
      <c r="D3" s="122"/>
      <c r="E3" s="122"/>
      <c r="F3" s="122"/>
      <c r="G3" s="122"/>
      <c r="H3" s="122"/>
      <c r="I3" s="122"/>
      <c r="J3" s="122"/>
      <c r="K3" s="122"/>
      <c r="L3" s="122"/>
      <c r="M3" s="122"/>
      <c r="N3" s="122"/>
      <c r="O3" s="122"/>
      <c r="P3" s="122"/>
      <c r="Q3" s="122"/>
      <c r="R3" s="122"/>
      <c r="S3" s="122"/>
      <c r="T3" s="122"/>
    </row>
    <row r="4" spans="1:20" ht="45.75" customHeight="1" x14ac:dyDescent="0.35">
      <c r="A4" s="123" t="s">
        <v>2</v>
      </c>
      <c r="B4" s="123"/>
      <c r="C4" s="124" t="s">
        <v>3</v>
      </c>
      <c r="D4" s="124"/>
      <c r="E4" s="139" t="s">
        <v>4</v>
      </c>
      <c r="F4" s="139"/>
      <c r="G4" s="140" t="s">
        <v>5</v>
      </c>
      <c r="H4" s="140"/>
      <c r="I4" s="127" t="s">
        <v>6</v>
      </c>
      <c r="J4" s="127"/>
      <c r="K4" s="141" t="s">
        <v>7</v>
      </c>
      <c r="L4" s="141"/>
      <c r="M4" s="123" t="s">
        <v>8</v>
      </c>
      <c r="N4" s="123"/>
      <c r="O4" s="124" t="s">
        <v>9</v>
      </c>
      <c r="P4" s="124"/>
      <c r="Q4" s="128" t="s">
        <v>10</v>
      </c>
      <c r="R4" s="128"/>
      <c r="S4" s="128"/>
      <c r="T4" s="128"/>
    </row>
    <row r="5" spans="1:20" ht="19.5" x14ac:dyDescent="0.35">
      <c r="A5" s="144">
        <f>COUNTA(B8:B100)</f>
        <v>9</v>
      </c>
      <c r="B5" s="144"/>
      <c r="C5" s="154">
        <f>IFERROR(SUM(N8:N100),0)</f>
        <v>694500</v>
      </c>
      <c r="D5" s="154"/>
      <c r="E5" s="136">
        <f>IFERROR(SUM(Q8:Q100),0)</f>
        <v>0</v>
      </c>
      <c r="F5" s="136"/>
      <c r="G5" s="137">
        <f>IFERROR(SUM(R8:R100),0)</f>
        <v>694500</v>
      </c>
      <c r="H5" s="137"/>
      <c r="I5" s="138">
        <f>IFERROR(SUM(M8:M100),0)</f>
        <v>34500</v>
      </c>
      <c r="J5" s="138"/>
      <c r="K5" s="143">
        <f>COUNTIF(O8:O100,"Yes")</f>
        <v>2</v>
      </c>
      <c r="L5" s="143"/>
      <c r="M5" s="144">
        <f>COUNTIF(P8:P100,"High")</f>
        <v>1</v>
      </c>
      <c r="N5" s="144"/>
      <c r="O5" s="145">
        <f>IFERROR(SUMIF(F8:F100,"Full Plot",G8:G100)+SUMIF(F8:F100,"Half Plot",G8:G100)/2,0)</f>
        <v>15.75</v>
      </c>
      <c r="P5" s="145"/>
      <c r="Q5" s="146">
        <f>IFERROR(SUM(Q8:Q100)/'⚙️ Config'!$B$19,0)</f>
        <v>0</v>
      </c>
      <c r="R5" s="146"/>
      <c r="S5" s="146"/>
      <c r="T5" s="146"/>
    </row>
    <row r="6" spans="1:20" ht="22.25" customHeight="1" x14ac:dyDescent="0.35">
      <c r="A6" s="147" t="s">
        <v>11</v>
      </c>
      <c r="B6" s="147"/>
      <c r="C6" s="148" t="s">
        <v>12</v>
      </c>
      <c r="D6" s="148"/>
      <c r="E6" s="149" t="s">
        <v>12</v>
      </c>
      <c r="F6" s="149"/>
      <c r="G6" s="150" t="s">
        <v>12</v>
      </c>
      <c r="H6" s="150"/>
      <c r="I6" s="151" t="s">
        <v>12</v>
      </c>
      <c r="J6" s="151"/>
      <c r="K6" s="152" t="s">
        <v>13</v>
      </c>
      <c r="L6" s="152"/>
      <c r="M6" s="147" t="s">
        <v>14</v>
      </c>
      <c r="N6" s="147"/>
      <c r="O6" s="148" t="s">
        <v>15</v>
      </c>
      <c r="P6" s="148"/>
      <c r="Q6" s="153" t="s">
        <v>16</v>
      </c>
      <c r="R6" s="153"/>
      <c r="S6" s="153"/>
      <c r="T6" s="153"/>
    </row>
    <row r="7" spans="1:20" ht="36" customHeight="1" x14ac:dyDescent="0.35">
      <c r="A7" s="1" t="s">
        <v>11</v>
      </c>
      <c r="B7" s="1" t="s">
        <v>17</v>
      </c>
      <c r="C7" s="1" t="s">
        <v>18</v>
      </c>
      <c r="D7" s="1" t="s">
        <v>19</v>
      </c>
      <c r="E7" s="1" t="s">
        <v>20</v>
      </c>
      <c r="F7" s="1" t="s">
        <v>21</v>
      </c>
      <c r="G7" s="1" t="s">
        <v>22</v>
      </c>
      <c r="H7" s="1" t="s">
        <v>23</v>
      </c>
      <c r="I7" s="1" t="s">
        <v>24</v>
      </c>
      <c r="J7" s="1" t="s">
        <v>25</v>
      </c>
      <c r="K7" s="1" t="s">
        <v>26</v>
      </c>
      <c r="L7" s="2" t="s">
        <v>27</v>
      </c>
      <c r="M7" s="2" t="s">
        <v>28</v>
      </c>
      <c r="N7" s="2" t="s">
        <v>29</v>
      </c>
      <c r="O7" s="1" t="s">
        <v>30</v>
      </c>
      <c r="P7" s="1" t="s">
        <v>31</v>
      </c>
      <c r="Q7" s="1" t="s">
        <v>32</v>
      </c>
      <c r="R7" s="1" t="s">
        <v>33</v>
      </c>
      <c r="S7" s="1" t="s">
        <v>34</v>
      </c>
      <c r="T7" s="1" t="s">
        <v>35</v>
      </c>
    </row>
    <row r="8" spans="1:20" ht="21.75" customHeight="1" x14ac:dyDescent="0.35">
      <c r="A8" s="3">
        <f t="shared" ref="A8:A30" si="0">IF($B8="","",ROW()-7)</f>
        <v>1</v>
      </c>
      <c r="B8" s="4" t="s">
        <v>196</v>
      </c>
      <c r="C8" s="103" t="s">
        <v>201</v>
      </c>
      <c r="D8" s="6">
        <v>46127</v>
      </c>
      <c r="E8" s="107" t="s">
        <v>46</v>
      </c>
      <c r="F8" s="8" t="s">
        <v>43</v>
      </c>
      <c r="G8" s="9">
        <v>2</v>
      </c>
      <c r="H8" s="10">
        <f>IF($B8="","",IF($F8="Full Plot",'⚙️ Config'!$B$6,IF($F8="Half Plot",'⚙️ Config'!$B$7,"")))</f>
        <v>48000</v>
      </c>
      <c r="I8" s="10">
        <f>IF($B8="","",IF($F8="Full Plot",$G8*'⚙️ Config'!$B$6,IF($F8="Half Plot",($G8/'⚙️ Config'!$E$7)*'⚙️ Config'!$B$7,0)))</f>
        <v>96000</v>
      </c>
      <c r="J8" s="11">
        <f>IF($B8="","",IF($F8="Full Plot",$G8*'⚙️ Config'!$C$6,IF($F8="Half Plot",($G8/'⚙️ Config'!$E$7)*'⚙️ Config'!$C$7,0)))</f>
        <v>16000</v>
      </c>
      <c r="K8" s="12">
        <f t="shared" ref="K8:K28" si="1">IF($B8="","",IFERROR($I8-$J8,0))</f>
        <v>80000</v>
      </c>
      <c r="L8" s="13" t="s">
        <v>44</v>
      </c>
      <c r="M8" s="14">
        <f>IF($B8="","",IF($L8="","",IF($F8="Full Plot",$G8,IF($F8="Half Plot",$G8/'⚙️ Config'!$E$7,0))*IFERROR(VLOOKUP($L8,'⚙️ Config'!$A$11:$B$14,2,0),0)))</f>
        <v>3000</v>
      </c>
      <c r="N8" s="15">
        <f t="shared" ref="N8:N28" si="2">IF($B8="","",IFERROR($K8+IF($M8="",$K8*0,$M8),0))</f>
        <v>83000</v>
      </c>
      <c r="O8" s="16" t="s">
        <v>40</v>
      </c>
      <c r="P8" s="17" t="s">
        <v>48</v>
      </c>
      <c r="Q8" s="18"/>
      <c r="R8" s="19">
        <f t="shared" ref="R8:R28" si="3">IF($B8="","",IFERROR(MAX($N8-$Q8,0),0))</f>
        <v>83000</v>
      </c>
      <c r="S8" s="20" t="s">
        <v>231</v>
      </c>
      <c r="T8" s="21" t="s">
        <v>232</v>
      </c>
    </row>
    <row r="9" spans="1:20" ht="21.75" customHeight="1" x14ac:dyDescent="0.35">
      <c r="A9" s="3">
        <f t="shared" si="0"/>
        <v>2</v>
      </c>
      <c r="B9" s="4" t="s">
        <v>202</v>
      </c>
      <c r="C9" s="105" t="s">
        <v>203</v>
      </c>
      <c r="D9" s="6">
        <v>46134</v>
      </c>
      <c r="E9" s="7" t="s">
        <v>37</v>
      </c>
      <c r="F9" s="8" t="s">
        <v>43</v>
      </c>
      <c r="G9" s="9">
        <v>6</v>
      </c>
      <c r="H9" s="10">
        <f>IF($B9="","",IF($F9="Full Plot",'⚙️ Config'!$B$6,IF($F9="Half Plot",'⚙️ Config'!$B$7,"")))</f>
        <v>48000</v>
      </c>
      <c r="I9" s="10">
        <f>IF($B9="","",IF($F9="Full Plot",$G9*'⚙️ Config'!$B$6,IF($F9="Half Plot",($G9/'⚙️ Config'!$E$7)*'⚙️ Config'!$B$7,0)))</f>
        <v>288000</v>
      </c>
      <c r="J9" s="11">
        <f>IF($B9="","",IF($F9="Full Plot",$G9*'⚙️ Config'!$C$6,IF($F9="Half Plot",($G9/'⚙️ Config'!$E$7)*'⚙️ Config'!$C$7,0)))</f>
        <v>48000</v>
      </c>
      <c r="K9" s="12">
        <f t="shared" si="1"/>
        <v>240000</v>
      </c>
      <c r="L9" s="108" t="s">
        <v>47</v>
      </c>
      <c r="M9" s="14">
        <f>IF($B9="","",IF($L9="","",IF($F9="Full Plot",$G9,IF($F9="Half Plot",$G9/'⚙️ Config'!$E$7,0))*IFERROR(VLOOKUP($L9,'⚙️ Config'!$A$11:$B$14,2,0),0)))</f>
        <v>18000</v>
      </c>
      <c r="N9" s="15">
        <f t="shared" si="2"/>
        <v>258000</v>
      </c>
      <c r="O9" s="16" t="s">
        <v>40</v>
      </c>
      <c r="P9" s="17" t="s">
        <v>41</v>
      </c>
      <c r="Q9" s="22"/>
      <c r="R9" s="19">
        <f t="shared" si="3"/>
        <v>258000</v>
      </c>
      <c r="S9" s="20" t="s">
        <v>233</v>
      </c>
      <c r="T9" s="21" t="s">
        <v>234</v>
      </c>
    </row>
    <row r="10" spans="1:20" ht="21.75" customHeight="1" x14ac:dyDescent="0.35">
      <c r="A10" s="3">
        <f t="shared" si="0"/>
        <v>3</v>
      </c>
      <c r="B10" s="104" t="s">
        <v>204</v>
      </c>
      <c r="C10" s="105" t="s">
        <v>205</v>
      </c>
      <c r="D10" s="6">
        <v>46132</v>
      </c>
      <c r="E10" s="17" t="s">
        <v>46</v>
      </c>
      <c r="F10" s="8" t="s">
        <v>43</v>
      </c>
      <c r="G10" s="9">
        <v>1</v>
      </c>
      <c r="H10" s="10">
        <f>IF($B10="","",IF($F10="Full Plot",'⚙️ Config'!$B$6,IF($F10="Half Plot",'⚙️ Config'!$B$7,"")))</f>
        <v>48000</v>
      </c>
      <c r="I10" s="10">
        <f>IF($B10="","",IF($F10="Full Plot",$G10*'⚙️ Config'!$B$6,IF($F10="Half Plot",($G10/'⚙️ Config'!$E$7)*'⚙️ Config'!$B$7,0)))</f>
        <v>48000</v>
      </c>
      <c r="J10" s="11">
        <f>IF($B10="","",IF($F10="Full Plot",$G10*'⚙️ Config'!$C$6,IF($F10="Half Plot",($G10/'⚙️ Config'!$E$7)*'⚙️ Config'!$C$7,0)))</f>
        <v>8000</v>
      </c>
      <c r="K10" s="12">
        <f t="shared" si="1"/>
        <v>40000</v>
      </c>
      <c r="L10" s="108" t="s">
        <v>44</v>
      </c>
      <c r="M10" s="14">
        <f>IF($B10="","",IF($L10="","",IF($F10="Full Plot",$G10,IF($F10="Half Plot",$G10/'⚙️ Config'!$E$7,0))*IFERROR(VLOOKUP($L10,'⚙️ Config'!$A$11:$B$14,2,0),0)))</f>
        <v>1500</v>
      </c>
      <c r="N10" s="15">
        <f t="shared" si="2"/>
        <v>41500</v>
      </c>
      <c r="O10" s="112" t="s">
        <v>52</v>
      </c>
      <c r="P10" s="111" t="s">
        <v>48</v>
      </c>
      <c r="Q10" s="22"/>
      <c r="R10" s="19">
        <f t="shared" si="3"/>
        <v>41500</v>
      </c>
      <c r="S10" s="20" t="s">
        <v>231</v>
      </c>
      <c r="T10" s="21" t="s">
        <v>235</v>
      </c>
    </row>
    <row r="11" spans="1:20" ht="21.75" customHeight="1" x14ac:dyDescent="0.35">
      <c r="A11" s="3">
        <f t="shared" si="0"/>
        <v>4</v>
      </c>
      <c r="B11" s="106" t="s">
        <v>206</v>
      </c>
      <c r="C11" s="105" t="s">
        <v>207</v>
      </c>
      <c r="D11" s="6">
        <v>46096</v>
      </c>
      <c r="E11" s="17" t="s">
        <v>46</v>
      </c>
      <c r="F11" s="8" t="s">
        <v>38</v>
      </c>
      <c r="G11" s="9">
        <v>0.5</v>
      </c>
      <c r="H11" s="10">
        <f>IF($B11="","",IF($F11="Full Plot",'⚙️ Config'!$B$6,IF($F11="Half Plot",'⚙️ Config'!$B$7,"")))</f>
        <v>26500</v>
      </c>
      <c r="I11" s="10">
        <f>IF($B11="","",IF($F11="Full Plot",$G11*'⚙️ Config'!$B$6,IF($F11="Half Plot",($G11/'⚙️ Config'!$E$7)*'⚙️ Config'!$B$7,0)))</f>
        <v>26500</v>
      </c>
      <c r="J11" s="11">
        <f>IF($B11="","",IF($F11="Full Plot",$G11*'⚙️ Config'!$C$6,IF($F11="Half Plot",($G11/'⚙️ Config'!$E$7)*'⚙️ Config'!$C$7,0)))</f>
        <v>6500</v>
      </c>
      <c r="K11" s="12">
        <f t="shared" si="1"/>
        <v>20000</v>
      </c>
      <c r="L11" s="13" t="s">
        <v>44</v>
      </c>
      <c r="M11" s="14">
        <f>IF($B11="","",IF($L11="","",IF($F11="Full Plot",$G11,IF($F11="Half Plot",$G11/'⚙️ Config'!$E$7,0))*IFERROR(VLOOKUP($L11,'⚙️ Config'!$A$11:$B$14,2,0),0)))</f>
        <v>1500</v>
      </c>
      <c r="N11" s="15">
        <f t="shared" si="2"/>
        <v>21500</v>
      </c>
      <c r="O11" s="16" t="s">
        <v>52</v>
      </c>
      <c r="P11" s="23" t="s">
        <v>48</v>
      </c>
      <c r="Q11" s="22"/>
      <c r="R11" s="19">
        <f t="shared" si="3"/>
        <v>21500</v>
      </c>
      <c r="S11" s="20" t="s">
        <v>236</v>
      </c>
      <c r="T11" s="21" t="s">
        <v>237</v>
      </c>
    </row>
    <row r="12" spans="1:20" ht="21.75" customHeight="1" x14ac:dyDescent="0.35">
      <c r="A12" s="3">
        <f t="shared" si="0"/>
        <v>5</v>
      </c>
      <c r="B12" s="106" t="s">
        <v>208</v>
      </c>
      <c r="C12" s="105" t="s">
        <v>213</v>
      </c>
      <c r="D12" s="6">
        <v>46006</v>
      </c>
      <c r="E12" s="24" t="s">
        <v>51</v>
      </c>
      <c r="F12" s="8" t="s">
        <v>43</v>
      </c>
      <c r="G12" s="9">
        <v>1</v>
      </c>
      <c r="H12" s="10">
        <f>IF($B12="","",IF($F12="Full Plot",'⚙️ Config'!$B$6,IF($F12="Half Plot",'⚙️ Config'!$B$7,"")))</f>
        <v>48000</v>
      </c>
      <c r="I12" s="10">
        <f>IF($B12="","",IF($F12="Full Plot",$G12*'⚙️ Config'!$B$6,IF($F12="Half Plot",($G12/'⚙️ Config'!$E$7)*'⚙️ Config'!$B$7,0)))</f>
        <v>48000</v>
      </c>
      <c r="J12" s="11">
        <f>IF($B12="","",IF($F12="Full Plot",$G12*'⚙️ Config'!$C$6,IF($F12="Half Plot",($G12/'⚙️ Config'!$E$7)*'⚙️ Config'!$C$7,0)))</f>
        <v>8000</v>
      </c>
      <c r="K12" s="12">
        <f t="shared" si="1"/>
        <v>40000</v>
      </c>
      <c r="L12" s="25" t="s">
        <v>44</v>
      </c>
      <c r="M12" s="14">
        <f>IF($B12="","",IF($L12="","",IF($F12="Full Plot",$G12,IF($F12="Half Plot",$G12/'⚙️ Config'!$E$7,0))*IFERROR(VLOOKUP($L12,'⚙️ Config'!$A$11:$B$14,2,0),0)))</f>
        <v>1500</v>
      </c>
      <c r="N12" s="15">
        <f t="shared" si="2"/>
        <v>41500</v>
      </c>
      <c r="O12" s="26" t="s">
        <v>52</v>
      </c>
      <c r="P12" s="7" t="s">
        <v>53</v>
      </c>
      <c r="Q12" s="22"/>
      <c r="R12" s="19">
        <f t="shared" si="3"/>
        <v>41500</v>
      </c>
      <c r="S12" s="20" t="s">
        <v>238</v>
      </c>
      <c r="T12" s="21" t="s">
        <v>239</v>
      </c>
    </row>
    <row r="13" spans="1:20" ht="21.75" customHeight="1" x14ac:dyDescent="0.35">
      <c r="A13" s="3">
        <f t="shared" si="0"/>
        <v>6</v>
      </c>
      <c r="B13" s="104" t="s">
        <v>209</v>
      </c>
      <c r="C13" s="105" t="s">
        <v>214</v>
      </c>
      <c r="D13" s="6">
        <v>46109</v>
      </c>
      <c r="E13" s="24" t="s">
        <v>56</v>
      </c>
      <c r="F13" s="8" t="s">
        <v>43</v>
      </c>
      <c r="G13" s="9">
        <v>2</v>
      </c>
      <c r="H13" s="10">
        <f>IF($B13="","",IF($F13="Full Plot",'⚙️ Config'!$B$6,IF($F13="Half Plot",'⚙️ Config'!$B$7,"")))</f>
        <v>48000</v>
      </c>
      <c r="I13" s="10">
        <f>IF($B13="","",IF($F13="Full Plot",$G13*'⚙️ Config'!$B$6,IF($F13="Half Plot",($G13/'⚙️ Config'!$E$7)*'⚙️ Config'!$B$7,0)))</f>
        <v>96000</v>
      </c>
      <c r="J13" s="11">
        <f>IF($B13="","",IF($F13="Full Plot",$G13*'⚙️ Config'!$C$6,IF($F13="Half Plot",($G13/'⚙️ Config'!$E$7)*'⚙️ Config'!$C$7,0)))</f>
        <v>16000</v>
      </c>
      <c r="K13" s="12">
        <f t="shared" si="1"/>
        <v>80000</v>
      </c>
      <c r="L13" s="25" t="s">
        <v>44</v>
      </c>
      <c r="M13" s="14">
        <f>IF($B13="","",IF($L13="","",IF($F13="Full Plot",$G13,IF($F13="Half Plot",$G13/'⚙️ Config'!$E$7,0))*IFERROR(VLOOKUP($L13,'⚙️ Config'!$A$11:$B$14,2,0),0)))</f>
        <v>3000</v>
      </c>
      <c r="N13" s="15">
        <f t="shared" si="2"/>
        <v>83000</v>
      </c>
      <c r="O13" s="26" t="s">
        <v>52</v>
      </c>
      <c r="P13" s="7" t="s">
        <v>53</v>
      </c>
      <c r="Q13" s="22"/>
      <c r="R13" s="19">
        <f t="shared" si="3"/>
        <v>83000</v>
      </c>
      <c r="S13" s="20" t="s">
        <v>240</v>
      </c>
      <c r="T13" s="21" t="s">
        <v>241</v>
      </c>
    </row>
    <row r="14" spans="1:20" ht="21.75" customHeight="1" x14ac:dyDescent="0.35">
      <c r="A14" s="3">
        <f t="shared" si="0"/>
        <v>7</v>
      </c>
      <c r="B14" s="104" t="s">
        <v>210</v>
      </c>
      <c r="C14" s="105" t="s">
        <v>215</v>
      </c>
      <c r="D14" s="6">
        <v>46099</v>
      </c>
      <c r="E14" s="27" t="s">
        <v>56</v>
      </c>
      <c r="F14" s="8" t="s">
        <v>43</v>
      </c>
      <c r="G14" s="9">
        <v>2</v>
      </c>
      <c r="H14" s="10">
        <f>IF($B14="","",IF($F14="Full Plot",'⚙️ Config'!$B$6,IF($F14="Half Plot",'⚙️ Config'!$B$7,"")))</f>
        <v>48000</v>
      </c>
      <c r="I14" s="10">
        <f>IF($B14="","",IF($F14="Full Plot",$G14*'⚙️ Config'!$B$6,IF($F14="Half Plot",($G14/'⚙️ Config'!$E$7)*'⚙️ Config'!$B$7,0)))</f>
        <v>96000</v>
      </c>
      <c r="J14" s="11">
        <f>IF($B14="","",IF($F14="Full Plot",$G14*'⚙️ Config'!$C$6,IF($F14="Half Plot",($G14/'⚙️ Config'!$E$7)*'⚙️ Config'!$C$7,0)))</f>
        <v>16000</v>
      </c>
      <c r="K14" s="12">
        <f t="shared" si="1"/>
        <v>80000</v>
      </c>
      <c r="L14" s="25" t="s">
        <v>39</v>
      </c>
      <c r="M14" s="14">
        <f>IF($B14="","",IF($L14="","",IF($F14="Full Plot",$G14,IF($F14="Half Plot",$G14/'⚙️ Config'!$E$7,0))*IFERROR(VLOOKUP($L14,'⚙️ Config'!$A$11:$B$14,2,0),0)))</f>
        <v>1500</v>
      </c>
      <c r="N14" s="15">
        <f t="shared" si="2"/>
        <v>81500</v>
      </c>
      <c r="O14" s="26" t="s">
        <v>52</v>
      </c>
      <c r="P14" s="7" t="s">
        <v>53</v>
      </c>
      <c r="Q14" s="22"/>
      <c r="R14" s="19">
        <f t="shared" si="3"/>
        <v>81500</v>
      </c>
      <c r="S14" s="20" t="s">
        <v>242</v>
      </c>
      <c r="T14" s="21" t="s">
        <v>243</v>
      </c>
    </row>
    <row r="15" spans="1:20" ht="21.75" customHeight="1" x14ac:dyDescent="0.35">
      <c r="A15" s="3">
        <f t="shared" si="0"/>
        <v>8</v>
      </c>
      <c r="B15" s="104" t="s">
        <v>211</v>
      </c>
      <c r="C15" s="105" t="s">
        <v>216</v>
      </c>
      <c r="D15" s="6">
        <v>46101</v>
      </c>
      <c r="E15" s="17" t="s">
        <v>46</v>
      </c>
      <c r="F15" s="8" t="s">
        <v>38</v>
      </c>
      <c r="G15" s="9">
        <v>1</v>
      </c>
      <c r="H15" s="10">
        <f>IF($B15="","",IF($F15="Full Plot",'⚙️ Config'!$B$6,IF($F15="Half Plot",'⚙️ Config'!$B$7,"")))</f>
        <v>26500</v>
      </c>
      <c r="I15" s="10">
        <f>IF($B15="","",IF($F15="Full Plot",$G15*'⚙️ Config'!$B$6,IF($F15="Half Plot",($G15/'⚙️ Config'!$E$7)*'⚙️ Config'!$B$7,0)))</f>
        <v>53000</v>
      </c>
      <c r="J15" s="11">
        <f>IF($B15="","",IF($F15="Full Plot",$G15*'⚙️ Config'!$C$6,IF($F15="Half Plot",($G15/'⚙️ Config'!$E$7)*'⚙️ Config'!$C$7,0)))</f>
        <v>13000</v>
      </c>
      <c r="K15" s="12">
        <f t="shared" si="1"/>
        <v>40000</v>
      </c>
      <c r="L15" s="13" t="s">
        <v>39</v>
      </c>
      <c r="M15" s="14">
        <f>IF($B15="","",IF($L15="","",IF($F15="Full Plot",$G15,IF($F15="Half Plot",$G15/'⚙️ Config'!$E$7,0))*IFERROR(VLOOKUP($L15,'⚙️ Config'!$A$11:$B$14,2,0),0)))</f>
        <v>1500</v>
      </c>
      <c r="N15" s="15">
        <f>IF($B15="","",IFERROR($K15+IF($M15="",$K15*0,$M15),0))</f>
        <v>41500</v>
      </c>
      <c r="O15" s="26" t="s">
        <v>52</v>
      </c>
      <c r="P15" s="23" t="s">
        <v>48</v>
      </c>
      <c r="Q15" s="22"/>
      <c r="R15" s="19">
        <f t="shared" si="3"/>
        <v>41500</v>
      </c>
      <c r="S15" s="20" t="s">
        <v>246</v>
      </c>
      <c r="T15" s="21" t="s">
        <v>247</v>
      </c>
    </row>
    <row r="16" spans="1:20" ht="21.75" customHeight="1" x14ac:dyDescent="0.35">
      <c r="A16" s="3">
        <f t="shared" si="0"/>
        <v>9</v>
      </c>
      <c r="B16" s="104" t="s">
        <v>212</v>
      </c>
      <c r="C16" s="105" t="s">
        <v>217</v>
      </c>
      <c r="D16" s="6">
        <v>46103</v>
      </c>
      <c r="E16" s="24" t="s">
        <v>51</v>
      </c>
      <c r="F16" s="8" t="s">
        <v>43</v>
      </c>
      <c r="G16" s="9">
        <v>1</v>
      </c>
      <c r="H16" s="10">
        <f>IF($B16="","",IF($F16="Full Plot",'⚙️ Config'!$B$6,IF($F16="Half Plot",'⚙️ Config'!$B$7,"")))</f>
        <v>48000</v>
      </c>
      <c r="I16" s="10">
        <f>IF($B16="","",IF($F16="Full Plot",$G16*'⚙️ Config'!$B$6,IF($F16="Half Plot",($G16/'⚙️ Config'!$E$7)*'⚙️ Config'!$B$7,0)))</f>
        <v>48000</v>
      </c>
      <c r="J16" s="11">
        <f>IF($B16="","",IF($F16="Full Plot",$G16*'⚙️ Config'!$C$6,IF($F16="Half Plot",($G16/'⚙️ Config'!$E$7)*'⚙️ Config'!$C$7,0)))</f>
        <v>8000</v>
      </c>
      <c r="K16" s="12">
        <f t="shared" si="1"/>
        <v>40000</v>
      </c>
      <c r="L16" s="25" t="s">
        <v>47</v>
      </c>
      <c r="M16" s="14">
        <f>IF($B16="","",IF($L16="","",IF($F16="Full Plot",$G16,IF($F16="Half Plot",$G16/'⚙️ Config'!$E$7,0))*IFERROR(VLOOKUP($L16,'⚙️ Config'!$A$11:$B$14,2,0),0)))</f>
        <v>3000</v>
      </c>
      <c r="N16" s="15">
        <f>IF($B16="","",IFERROR($K16+IF($M16="",$K16*0,$M16),0))</f>
        <v>43000</v>
      </c>
      <c r="O16" s="26" t="s">
        <v>52</v>
      </c>
      <c r="P16" s="23" t="s">
        <v>48</v>
      </c>
      <c r="Q16" s="22"/>
      <c r="R16" s="19">
        <f t="shared" si="3"/>
        <v>43000</v>
      </c>
      <c r="S16" s="20" t="s">
        <v>244</v>
      </c>
      <c r="T16" s="21" t="s">
        <v>245</v>
      </c>
    </row>
    <row r="17" spans="1:20" ht="21.75" customHeight="1" x14ac:dyDescent="0.35">
      <c r="A17" s="3" t="str">
        <f t="shared" si="0"/>
        <v/>
      </c>
      <c r="B17" s="4"/>
      <c r="C17" s="5"/>
      <c r="D17" s="6"/>
      <c r="E17" s="24"/>
      <c r="F17" s="109"/>
      <c r="G17" s="9"/>
      <c r="H17" s="10" t="str">
        <f>IF($B17="","",IF($F17="Full Plot",'⚙️ Config'!$B$6,IF($F17="Half Plot",'⚙️ Config'!$B$7,"")))</f>
        <v/>
      </c>
      <c r="I17" s="10" t="str">
        <f>IF($B17="","",IF($F17="Full Plot",$G17*'⚙️ Config'!$B$6,IF($F17="Half Plot",($G17/'⚙️ Config'!$E$7)*'⚙️ Config'!$B$7,0)))</f>
        <v/>
      </c>
      <c r="J17" s="11" t="str">
        <f>IF($B17="","",IF($F17="Full Plot",$G17*'⚙️ Config'!$C$6,IF($F17="Half Plot",($G17/'⚙️ Config'!$E$7)*'⚙️ Config'!$C$7,0)))</f>
        <v/>
      </c>
      <c r="K17" s="12" t="str">
        <f t="shared" si="1"/>
        <v/>
      </c>
      <c r="L17" s="25"/>
      <c r="M17" s="14" t="str">
        <f>IF($B17="","",IF($L17="","",IF($F17="Full Plot",$G17,IF($F17="Half Plot",$G17/'⚙️ Config'!$E$7,0))*IFERROR(VLOOKUP($L17,'⚙️ Config'!$A$11:$B$14,2,0),0)))</f>
        <v/>
      </c>
      <c r="N17" s="15" t="str">
        <f t="shared" si="2"/>
        <v/>
      </c>
      <c r="O17" s="26"/>
      <c r="P17" s="23"/>
      <c r="Q17" s="22"/>
      <c r="R17" s="19" t="str">
        <f t="shared" si="3"/>
        <v/>
      </c>
      <c r="S17" s="20"/>
      <c r="T17" s="21"/>
    </row>
    <row r="18" spans="1:20" ht="21.75" customHeight="1" x14ac:dyDescent="0.35">
      <c r="A18" s="3" t="str">
        <f t="shared" si="0"/>
        <v/>
      </c>
      <c r="B18" s="4"/>
      <c r="C18" s="5"/>
      <c r="D18" s="6"/>
      <c r="E18" s="24"/>
      <c r="F18" s="8"/>
      <c r="G18" s="9"/>
      <c r="H18" s="10" t="str">
        <f>IF($B18="","",IF($F18="Full Plot",'⚙️ Config'!$B$6,IF($F18="Half Plot",'⚙️ Config'!$B$7,"")))</f>
        <v/>
      </c>
      <c r="I18" s="10" t="str">
        <f>IF($B18="","",IF($F18="Full Plot",$G18*'⚙️ Config'!$B$6,IF($F18="Half Plot",($G18/'⚙️ Config'!$E$7)*'⚙️ Config'!$B$7,0)))</f>
        <v/>
      </c>
      <c r="J18" s="11" t="str">
        <f>IF($B18="","",IF($F18="Full Plot",$G18*'⚙️ Config'!$C$6,IF($F18="Half Plot",($G18/'⚙️ Config'!$E$7)*'⚙️ Config'!$C$7,0)))</f>
        <v/>
      </c>
      <c r="K18" s="12" t="str">
        <f t="shared" si="1"/>
        <v/>
      </c>
      <c r="L18" s="25"/>
      <c r="M18" s="14"/>
      <c r="N18" s="15" t="str">
        <f t="shared" si="2"/>
        <v/>
      </c>
      <c r="O18" s="26"/>
      <c r="P18" s="23"/>
      <c r="Q18" s="22"/>
      <c r="R18" s="19" t="str">
        <f t="shared" si="3"/>
        <v/>
      </c>
      <c r="S18" s="20"/>
      <c r="T18" s="21"/>
    </row>
    <row r="19" spans="1:20" ht="21.75" customHeight="1" x14ac:dyDescent="0.35">
      <c r="A19" s="3" t="str">
        <f t="shared" si="0"/>
        <v/>
      </c>
      <c r="B19" s="4"/>
      <c r="C19" s="5"/>
      <c r="D19" s="6"/>
      <c r="E19" s="17"/>
      <c r="F19" s="8"/>
      <c r="G19" s="9"/>
      <c r="H19" s="10" t="str">
        <f>IF($B19="","",IF($F19="Full Plot",'⚙️ Config'!$B$6,IF($F19="Half Plot",'⚙️ Config'!$B$7,"")))</f>
        <v/>
      </c>
      <c r="I19" s="10" t="str">
        <f>IF($B19="","",IF($F19="Full Plot",$G19*'⚙️ Config'!$B$6,IF($F19="Half Plot",($G19/'⚙️ Config'!$E$7)*'⚙️ Config'!$B$7,0)))</f>
        <v/>
      </c>
      <c r="J19" s="11" t="str">
        <f>IF($B19="","",IF($F19="Full Plot",$G19*'⚙️ Config'!$C$6,IF($F19="Half Plot",($G19/'⚙️ Config'!$E$7)*'⚙️ Config'!$C$7,0)))</f>
        <v/>
      </c>
      <c r="K19" s="12" t="str">
        <f t="shared" si="1"/>
        <v/>
      </c>
      <c r="L19" s="13"/>
      <c r="M19" s="14" t="str">
        <f>IF($B19="","",IF($L19="","",IF($F19="Full Plot",$G19,IF($F19="Half Plot",$G19/'⚙️ Config'!$E$7,0))*IFERROR(VLOOKUP($L19,'⚙️ Config'!$A$11:$B$14,2,0),0)))</f>
        <v/>
      </c>
      <c r="N19" s="15" t="str">
        <f t="shared" si="2"/>
        <v/>
      </c>
      <c r="O19" s="26"/>
      <c r="P19" s="23"/>
      <c r="Q19" s="22"/>
      <c r="R19" s="19" t="str">
        <f t="shared" si="3"/>
        <v/>
      </c>
      <c r="S19" s="20"/>
      <c r="T19" s="21"/>
    </row>
    <row r="20" spans="1:20" ht="21.75" customHeight="1" x14ac:dyDescent="0.35">
      <c r="A20" s="28" t="str">
        <f t="shared" si="0"/>
        <v/>
      </c>
      <c r="B20" s="4"/>
      <c r="C20" s="5"/>
      <c r="D20" s="6"/>
      <c r="E20" s="23"/>
      <c r="F20" s="8"/>
      <c r="G20" s="9"/>
      <c r="H20" s="10" t="str">
        <f>IF($B20="","",IF($F20="Full Plot",'⚙️ Config'!$B$6,IF($F20="Half Plot",'⚙️ Config'!$B$7,"")))</f>
        <v/>
      </c>
      <c r="I20" s="10" t="str">
        <f>IF($B20="","",IF($F20="Full Plot",$G20*'⚙️ Config'!$B$6,IF($F20="Half Plot",($G20/'⚙️ Config'!$E$7)*'⚙️ Config'!$B$7,0)))</f>
        <v/>
      </c>
      <c r="J20" s="11" t="str">
        <f>IF($B20="","",IF($F20="Full Plot",$G20*'⚙️ Config'!$C$6,IF($F20="Half Plot",($G20/'⚙️ Config'!$E$7)*'⚙️ Config'!$C$7,0)))</f>
        <v/>
      </c>
      <c r="K20" s="12" t="str">
        <f t="shared" si="1"/>
        <v/>
      </c>
      <c r="L20" s="25"/>
      <c r="M20" s="14" t="str">
        <f>IF($B20="","",IF($L20="","",IF($F20="Full Plot",$G20,IF($F20="Half Plot",$G20/'⚙️ Config'!$E$7,0))*IFERROR(VLOOKUP($L20,'⚙️ Config'!$A$11:$B$14,2,0),0)))</f>
        <v/>
      </c>
      <c r="N20" s="15" t="str">
        <f t="shared" si="2"/>
        <v/>
      </c>
      <c r="O20" s="26"/>
      <c r="P20" s="23"/>
      <c r="Q20" s="22"/>
      <c r="R20" s="19" t="str">
        <f t="shared" si="3"/>
        <v/>
      </c>
      <c r="S20" s="20"/>
      <c r="T20" s="21"/>
    </row>
    <row r="21" spans="1:20" ht="21.75" customHeight="1" x14ac:dyDescent="0.35">
      <c r="A21" s="3" t="str">
        <f t="shared" si="0"/>
        <v/>
      </c>
      <c r="B21" s="4"/>
      <c r="C21" s="5"/>
      <c r="D21" s="6"/>
      <c r="E21" s="27"/>
      <c r="F21" s="8"/>
      <c r="G21" s="9"/>
      <c r="H21" s="10" t="str">
        <f>IF($B21="","",IF($F21="Full Plot",'⚙️ Config'!$B$6,IF($F21="Half Plot",'⚙️ Config'!$B$7,"")))</f>
        <v/>
      </c>
      <c r="I21" s="10" t="str">
        <f>IF($B21="","",IF($F21="Full Plot",$G21*'⚙️ Config'!$B$6,IF($F21="Half Plot",($G21/'⚙️ Config'!$E$7)*'⚙️ Config'!$B$7,0)))</f>
        <v/>
      </c>
      <c r="J21" s="11" t="str">
        <f>IF($B21="","",IF($F21="Full Plot",$G21*'⚙️ Config'!$C$6,IF($F21="Half Plot",($G21/'⚙️ Config'!$E$7)*'⚙️ Config'!$C$7,0)))</f>
        <v/>
      </c>
      <c r="K21" s="12" t="str">
        <f t="shared" si="1"/>
        <v/>
      </c>
      <c r="L21" s="25"/>
      <c r="M21" s="14" t="str">
        <f>IF($B21="","",IF($L21="","",IF($F21="Full Plot",$G21,IF($F21="Half Plot",$G21/'⚙️ Config'!$E$7,0))*IFERROR(VLOOKUP($L21,'⚙️ Config'!$A$11:$B$14,2,0),0)))</f>
        <v/>
      </c>
      <c r="N21" s="15" t="str">
        <f t="shared" si="2"/>
        <v/>
      </c>
      <c r="O21" s="26"/>
      <c r="P21" s="23"/>
      <c r="Q21" s="22"/>
      <c r="R21" s="19" t="str">
        <f t="shared" si="3"/>
        <v/>
      </c>
      <c r="S21" s="20"/>
      <c r="T21" s="21"/>
    </row>
    <row r="22" spans="1:20" ht="21.75" customHeight="1" x14ac:dyDescent="0.35">
      <c r="A22" s="3" t="str">
        <f t="shared" si="0"/>
        <v/>
      </c>
      <c r="B22" s="4"/>
      <c r="C22" s="5"/>
      <c r="D22" s="6"/>
      <c r="E22" s="17"/>
      <c r="F22" s="8"/>
      <c r="G22" s="9"/>
      <c r="H22" s="10" t="str">
        <f>IF($B22="","",IF($F22="Full Plot",'⚙️ Config'!$B$6,IF($F22="Half Plot",'⚙️ Config'!$B$7,"")))</f>
        <v/>
      </c>
      <c r="I22" s="10" t="str">
        <f>IF($B22="","",IF($F22="Full Plot",$G22*'⚙️ Config'!$B$6,IF($F22="Half Plot",($G22/'⚙️ Config'!$E$7)*'⚙️ Config'!$B$7,0)))</f>
        <v/>
      </c>
      <c r="J22" s="11" t="str">
        <f>IF($B22="","",IF($F22="Full Plot",$G22*'⚙️ Config'!$C$6,IF($F22="Half Plot",($G22/'⚙️ Config'!$E$7)*'⚙️ Config'!$C$7,0)))</f>
        <v/>
      </c>
      <c r="K22" s="12" t="str">
        <f t="shared" si="1"/>
        <v/>
      </c>
      <c r="L22" s="25"/>
      <c r="M22" s="14" t="str">
        <f>IF($B22="","",IF($L22="","",IF($F22="Full Plot",$G22,IF($F22="Half Plot",$G22/'⚙️ Config'!$E$7,0))*IFERROR(VLOOKUP($L22,'⚙️ Config'!$A$11:$B$14,2,0),0)))</f>
        <v/>
      </c>
      <c r="N22" s="15" t="str">
        <f t="shared" si="2"/>
        <v/>
      </c>
      <c r="O22" s="16"/>
      <c r="P22" s="17"/>
      <c r="Q22" s="22"/>
      <c r="R22" s="19" t="str">
        <f t="shared" si="3"/>
        <v/>
      </c>
      <c r="S22" s="20"/>
      <c r="T22" s="21"/>
    </row>
    <row r="23" spans="1:20" ht="21.75" customHeight="1" x14ac:dyDescent="0.35">
      <c r="A23" s="3" t="str">
        <f t="shared" si="0"/>
        <v/>
      </c>
      <c r="B23" s="4"/>
      <c r="C23" s="5"/>
      <c r="D23" s="6"/>
      <c r="E23" s="17"/>
      <c r="F23" s="8"/>
      <c r="G23" s="9"/>
      <c r="H23" s="10" t="str">
        <f>IF($B23="","",IF($F23="Full Plot",'⚙️ Config'!$B$6,IF($F23="Half Plot",'⚙️ Config'!$B$7,"")))</f>
        <v/>
      </c>
      <c r="I23" s="10" t="str">
        <f>IF($B23="","",IF($F23="Full Plot",$G23*'⚙️ Config'!$B$6,IF($F23="Half Plot",($G23/'⚙️ Config'!$E$7)*'⚙️ Config'!$B$7,0)))</f>
        <v/>
      </c>
      <c r="J23" s="11" t="str">
        <f>IF($B23="","",IF($F23="Full Plot",$G23*'⚙️ Config'!$C$6,IF($F23="Half Plot",($G23/'⚙️ Config'!$E$7)*'⚙️ Config'!$C$7,0)))</f>
        <v/>
      </c>
      <c r="K23" s="12" t="str">
        <f t="shared" si="1"/>
        <v/>
      </c>
      <c r="L23" s="25"/>
      <c r="M23" s="14" t="str">
        <f>IF($B23="","",IF($L23="","",IF($F23="Full Plot",$G23,IF($F23="Half Plot",$G23/'⚙️ Config'!$E$7,0))*IFERROR(VLOOKUP($L23,'⚙️ Config'!$A$11:$B$14,2,0),0)))</f>
        <v/>
      </c>
      <c r="N23" s="15" t="str">
        <f t="shared" si="2"/>
        <v/>
      </c>
      <c r="O23" s="26"/>
      <c r="P23" s="23"/>
      <c r="Q23" s="22"/>
      <c r="R23" s="19" t="str">
        <f t="shared" si="3"/>
        <v/>
      </c>
      <c r="S23" s="20"/>
      <c r="T23" s="21"/>
    </row>
    <row r="24" spans="1:20" ht="21.75" customHeight="1" x14ac:dyDescent="0.35">
      <c r="A24" s="3" t="str">
        <f t="shared" si="0"/>
        <v/>
      </c>
      <c r="B24" s="4"/>
      <c r="C24" s="5"/>
      <c r="D24" s="6"/>
      <c r="E24" s="17"/>
      <c r="F24" s="8"/>
      <c r="G24" s="9"/>
      <c r="H24" s="10" t="str">
        <f>IF($B24="","",IF($F24="Full Plot",'⚙️ Config'!$B$6,IF($F24="Half Plot",'⚙️ Config'!$B$7,"")))</f>
        <v/>
      </c>
      <c r="I24" s="10" t="str">
        <f>IF($B24="","",IF($F24="Full Plot",$G24*'⚙️ Config'!$B$6,IF($F24="Half Plot",($G24/'⚙️ Config'!$E$7)*'⚙️ Config'!$B$7,0)))</f>
        <v/>
      </c>
      <c r="J24" s="11" t="str">
        <f>IF($B24="","",IF($F24="Full Plot",$G24*'⚙️ Config'!$C$6,IF($F24="Half Plot",($G24/'⚙️ Config'!$E$7)*'⚙️ Config'!$C$7,0)))</f>
        <v/>
      </c>
      <c r="K24" s="12" t="str">
        <f t="shared" si="1"/>
        <v/>
      </c>
      <c r="L24" s="25"/>
      <c r="M24" s="14" t="str">
        <f>IF($B24="","",IF($L24="","",IF($F24="Full Plot",$G24,IF($F24="Half Plot",$G24/'⚙️ Config'!$E$7,0))*IFERROR(VLOOKUP($L24,'⚙️ Config'!$A$11:$B$14,2,0),0)))</f>
        <v/>
      </c>
      <c r="N24" s="15" t="str">
        <f t="shared" si="2"/>
        <v/>
      </c>
      <c r="O24" s="26"/>
      <c r="P24" s="7"/>
      <c r="Q24" s="22"/>
      <c r="R24" s="19" t="str">
        <f t="shared" si="3"/>
        <v/>
      </c>
      <c r="S24" s="20"/>
      <c r="T24" s="21"/>
    </row>
    <row r="25" spans="1:20" ht="21.75" customHeight="1" x14ac:dyDescent="0.35">
      <c r="A25" s="3" t="str">
        <f t="shared" si="0"/>
        <v/>
      </c>
      <c r="B25" s="4"/>
      <c r="C25" s="5"/>
      <c r="D25" s="6"/>
      <c r="E25" s="17"/>
      <c r="F25" s="8"/>
      <c r="G25" s="9"/>
      <c r="H25" s="10" t="str">
        <f>IF($B25="","",IF($F25="Full Plot",'⚙️ Config'!$B$6,IF($F25="Half Plot",'⚙️ Config'!$B$7,"")))</f>
        <v/>
      </c>
      <c r="I25" s="10" t="str">
        <f>IF($B25="","",IF($F25="Full Plot",$G25*'⚙️ Config'!$B$6,IF($F25="Half Plot",($G25/'⚙️ Config'!$E$7)*'⚙️ Config'!$B$7,0)))</f>
        <v/>
      </c>
      <c r="J25" s="11" t="str">
        <f>IF($B25="","",IF($F25="Full Plot",$G25*'⚙️ Config'!$C$6,IF($F25="Half Plot",($G25/'⚙️ Config'!$E$7)*'⚙️ Config'!$C$7,0)))</f>
        <v/>
      </c>
      <c r="K25" s="12" t="str">
        <f t="shared" si="1"/>
        <v/>
      </c>
      <c r="L25" s="25"/>
      <c r="M25" s="14" t="str">
        <f>IF($B25="","",IF($L25="","",IF($F25="Full Plot",$G25,IF($F25="Half Plot",$G25/'⚙️ Config'!$E$7,0))*IFERROR(VLOOKUP($L25,'⚙️ Config'!$A$11:$B$14,2,0),0)))</f>
        <v/>
      </c>
      <c r="N25" s="15" t="str">
        <f t="shared" si="2"/>
        <v/>
      </c>
      <c r="O25" s="26"/>
      <c r="P25" s="7"/>
      <c r="Q25" s="22"/>
      <c r="R25" s="19" t="str">
        <f t="shared" si="3"/>
        <v/>
      </c>
      <c r="S25" s="20"/>
      <c r="T25" s="21"/>
    </row>
    <row r="26" spans="1:20" ht="21.75" customHeight="1" x14ac:dyDescent="0.35">
      <c r="A26" s="3" t="str">
        <f t="shared" si="0"/>
        <v/>
      </c>
      <c r="B26" s="4"/>
      <c r="C26" s="5"/>
      <c r="D26" s="6"/>
      <c r="E26" s="17"/>
      <c r="F26" s="8"/>
      <c r="G26" s="9"/>
      <c r="H26" s="10" t="str">
        <f>IF($B26="","",IF($F26="Full Plot",'⚙️ Config'!$B$6,IF($F26="Half Plot",'⚙️ Config'!$B$7,"")))</f>
        <v/>
      </c>
      <c r="I26" s="10" t="str">
        <f>IF($B26="","",IF($F26="Full Plot",$G26*'⚙️ Config'!$B$6,IF($F26="Half Plot",($G26/'⚙️ Config'!$E$7)*'⚙️ Config'!$B$7,0)))</f>
        <v/>
      </c>
      <c r="J26" s="11" t="str">
        <f>IF($B26="","",IF($F26="Full Plot",$G26*'⚙️ Config'!$C$6,IF($F26="Half Plot",($G26/'⚙️ Config'!$E$7)*'⚙️ Config'!$C$7,0)))</f>
        <v/>
      </c>
      <c r="K26" s="12" t="str">
        <f t="shared" si="1"/>
        <v/>
      </c>
      <c r="L26" s="25"/>
      <c r="M26" s="14" t="str">
        <f>IF($B26="","",IF($L26="","",IF($F26="Full Plot",$G26,IF($F26="Half Plot",$G26/'⚙️ Config'!$E$7,0))*IFERROR(VLOOKUP($L26,'⚙️ Config'!$A$11:$B$14,2,0),0)))</f>
        <v/>
      </c>
      <c r="N26" s="15" t="str">
        <f t="shared" si="2"/>
        <v/>
      </c>
      <c r="O26" s="26"/>
      <c r="P26" s="7"/>
      <c r="Q26" s="22"/>
      <c r="R26" s="19" t="str">
        <f t="shared" si="3"/>
        <v/>
      </c>
      <c r="S26" s="20"/>
      <c r="T26" s="21"/>
    </row>
    <row r="27" spans="1:20" ht="21.75" customHeight="1" x14ac:dyDescent="0.35">
      <c r="A27" s="3" t="str">
        <f t="shared" si="0"/>
        <v/>
      </c>
      <c r="B27" s="4"/>
      <c r="C27" s="5"/>
      <c r="D27" s="6"/>
      <c r="E27" s="17"/>
      <c r="F27" s="8"/>
      <c r="G27" s="9"/>
      <c r="H27" s="10" t="str">
        <f>IF($B27="","",IF($F27="Full Plot",'⚙️ Config'!$B$6,IF($F27="Half Plot",'⚙️ Config'!$B$7,"")))</f>
        <v/>
      </c>
      <c r="I27" s="10" t="str">
        <f>IF($B27="","",IF($F27="Full Plot",$G27*'⚙️ Config'!$B$6,IF($F27="Half Plot",($G27/'⚙️ Config'!$E$7)*'⚙️ Config'!$B$7,0)))</f>
        <v/>
      </c>
      <c r="J27" s="11" t="str">
        <f>IF($B27="","",IF($F27="Full Plot",$G27*'⚙️ Config'!$C$6,IF($F27="Half Plot",($G27/'⚙️ Config'!$E$7)*'⚙️ Config'!$C$7,0)))</f>
        <v/>
      </c>
      <c r="K27" s="12" t="str">
        <f t="shared" si="1"/>
        <v/>
      </c>
      <c r="L27" s="25"/>
      <c r="M27" s="14" t="str">
        <f>IF($B27="","",IF($L27="","",IF($F27="Full Plot",$G27,IF($F27="Half Plot",$G27/'⚙️ Config'!$E$7,0))*IFERROR(VLOOKUP($L27,'⚙️ Config'!$A$11:$B$14,2,0),0)))</f>
        <v/>
      </c>
      <c r="N27" s="15" t="str">
        <f t="shared" si="2"/>
        <v/>
      </c>
      <c r="O27" s="26"/>
      <c r="P27" s="7"/>
      <c r="Q27" s="22"/>
      <c r="R27" s="19" t="str">
        <f t="shared" si="3"/>
        <v/>
      </c>
      <c r="S27" s="20"/>
      <c r="T27" s="21"/>
    </row>
    <row r="28" spans="1:20" ht="21.75" customHeight="1" x14ac:dyDescent="0.35">
      <c r="A28" s="3" t="str">
        <f t="shared" si="0"/>
        <v/>
      </c>
      <c r="B28" s="4"/>
      <c r="C28" s="5"/>
      <c r="D28" s="6"/>
      <c r="E28" s="17"/>
      <c r="F28" s="8"/>
      <c r="G28" s="9"/>
      <c r="H28" s="10" t="str">
        <f>IF($B28="","",IF($F28="Full Plot",'⚙️ Config'!$B$6,IF($F28="Half Plot",'⚙️ Config'!$B$7,"")))</f>
        <v/>
      </c>
      <c r="I28" s="10" t="str">
        <f>IF($B28="","",IF($F28="Full Plot",$G28*'⚙️ Config'!$B$6,IF($F28="Half Plot",($G28/'⚙️ Config'!$E$7)*'⚙️ Config'!$B$7,0)))</f>
        <v/>
      </c>
      <c r="J28" s="11" t="str">
        <f>IF($B28="","",IF($F28="Full Plot",$G28*'⚙️ Config'!$C$6,IF($F28="Half Plot",($G28/'⚙️ Config'!$E$7)*'⚙️ Config'!$C$7,0)))</f>
        <v/>
      </c>
      <c r="K28" s="12" t="str">
        <f t="shared" si="1"/>
        <v/>
      </c>
      <c r="L28" s="25"/>
      <c r="M28" s="14" t="str">
        <f>IF($B28="","",IF($L28="","",IF($F28="Full Plot",$G28,IF($F28="Half Plot",$G28/'⚙️ Config'!$E$7,0))*IFERROR(VLOOKUP($L28,'⚙️ Config'!$A$11:$B$14,2,0),0)))</f>
        <v/>
      </c>
      <c r="N28" s="15" t="str">
        <f t="shared" si="2"/>
        <v/>
      </c>
      <c r="O28" s="26"/>
      <c r="P28" s="7"/>
      <c r="Q28" s="22"/>
      <c r="R28" s="19" t="str">
        <f t="shared" si="3"/>
        <v/>
      </c>
      <c r="S28" s="20"/>
      <c r="T28" s="21"/>
    </row>
    <row r="29" spans="1:20" ht="27.75" customHeight="1" x14ac:dyDescent="0.35">
      <c r="A29" s="142" t="s">
        <v>73</v>
      </c>
      <c r="B29" s="142"/>
      <c r="C29" s="142"/>
      <c r="D29" s="142"/>
      <c r="E29" s="142"/>
      <c r="F29" s="142"/>
      <c r="G29" s="142"/>
      <c r="H29" s="142"/>
      <c r="I29" s="142"/>
      <c r="J29" s="142"/>
      <c r="K29" s="142"/>
      <c r="L29" s="142"/>
      <c r="M29" s="142"/>
      <c r="N29" s="142"/>
      <c r="O29" s="142"/>
      <c r="P29" s="142"/>
      <c r="Q29" s="142"/>
      <c r="R29" s="142"/>
      <c r="S29" s="142"/>
      <c r="T29" s="142"/>
    </row>
    <row r="30" spans="1:20" ht="21" customHeight="1" x14ac:dyDescent="0.35">
      <c r="A30" s="3" t="str">
        <f t="shared" si="0"/>
        <v/>
      </c>
      <c r="B30" s="30"/>
      <c r="C30" s="31"/>
      <c r="D30" s="32"/>
      <c r="E30" s="110"/>
      <c r="F30" s="33"/>
      <c r="G30" s="9"/>
      <c r="H30" s="10" t="str">
        <f>IF($B30="","",IF($F30="Full Plot",'⚙️ Config'!$B$6,IF($F30="Half Plot",'⚙️ Config'!$B$7,"")))</f>
        <v/>
      </c>
      <c r="I30" s="10" t="str">
        <f>IF($B30="","",IF($F30="Full Plot",$G30*'⚙️ Config'!$B$6,IF($F30="Half Plot",($G30/'⚙️ Config'!$E$7)*'⚙️ Config'!$B$7,0)))</f>
        <v/>
      </c>
      <c r="J30" s="11" t="str">
        <f>IF($B30="","",IF($F30="Full Plot",$G30*'⚙️ Config'!$C$6,IF($F30="Half Plot",($G30/'⚙️ Config'!$E$7)*'⚙️ Config'!$C$7,0)))</f>
        <v/>
      </c>
      <c r="K30" s="12" t="str">
        <f t="shared" ref="K30:K50" si="4">IF($B30="","",IFERROR($I30-$J30,0))</f>
        <v/>
      </c>
      <c r="L30" s="25"/>
      <c r="M30" s="34" t="str">
        <f>IF($B30="","",IF($L30="","",IF($F30="Full Plot",$G30,IF($F30="Half Plot",$G30/'⚙️ Config'!$E$7,0))*IFERROR(VLOOKUP($L30,'⚙️ Config'!$A$11:$B$14,2,0),0)))</f>
        <v/>
      </c>
      <c r="N30" s="35" t="str">
        <f t="shared" ref="N30:N50" si="5">IF($B30="","",IFERROR($K30+IF($M30="",$K30*0,$M30),0))</f>
        <v/>
      </c>
      <c r="O30" s="33"/>
      <c r="P30" s="33"/>
      <c r="Q30" s="22"/>
      <c r="R30" s="36" t="str">
        <f t="shared" ref="R30:R50" si="6">IF($B30="","",IFERROR(MAX($N30-$Q30,0),0))</f>
        <v/>
      </c>
      <c r="S30" s="37"/>
      <c r="T30" s="38"/>
    </row>
    <row r="31" spans="1:20" ht="21" customHeight="1" x14ac:dyDescent="0.35">
      <c r="A31" s="29" t="str">
        <f t="shared" ref="A31:A50" si="7">IF($B31="","",ROW()-7)</f>
        <v/>
      </c>
      <c r="B31" s="30"/>
      <c r="C31" s="31"/>
      <c r="D31" s="32"/>
      <c r="E31" s="33"/>
      <c r="F31" s="33"/>
      <c r="G31" s="9"/>
      <c r="H31" s="10" t="str">
        <f>IF($B31="","",IF($F31="Full Plot",'⚙️ Config'!$B$6,IF($F31="Half Plot",'⚙️ Config'!$B$7,"")))</f>
        <v/>
      </c>
      <c r="I31" s="10" t="str">
        <f>IF($B31="","",IF($F31="Full Plot",$G31*'⚙️ Config'!$B$6,IF($F31="Half Plot",($G31/'⚙️ Config'!$E$7)*'⚙️ Config'!$B$7,0)))</f>
        <v/>
      </c>
      <c r="J31" s="11" t="str">
        <f>IF($B31="","",IF($F31="Full Plot",$G31*'⚙️ Config'!$C$6,IF($F31="Half Plot",($G31/'⚙️ Config'!$E$7)*'⚙️ Config'!$C$7,0)))</f>
        <v/>
      </c>
      <c r="K31" s="12" t="str">
        <f t="shared" si="4"/>
        <v/>
      </c>
      <c r="L31" s="25"/>
      <c r="M31" s="34" t="str">
        <f>IF($B31="","",IF($L31="","",IF($F31="Full Plot",$G31,IF($F31="Half Plot",$G31/'⚙️ Config'!$E$7,0))*IFERROR(VLOOKUP($L31,'⚙️ Config'!$A$11:$B$14,2,0),0)))</f>
        <v/>
      </c>
      <c r="N31" s="35" t="str">
        <f t="shared" si="5"/>
        <v/>
      </c>
      <c r="O31" s="33"/>
      <c r="P31" s="33"/>
      <c r="Q31" s="22"/>
      <c r="R31" s="36" t="str">
        <f t="shared" si="6"/>
        <v/>
      </c>
      <c r="S31" s="37"/>
      <c r="T31" s="38"/>
    </row>
    <row r="32" spans="1:20" ht="21" customHeight="1" x14ac:dyDescent="0.35">
      <c r="A32" s="29" t="str">
        <f t="shared" si="7"/>
        <v/>
      </c>
      <c r="B32" s="30"/>
      <c r="C32" s="31"/>
      <c r="D32" s="32"/>
      <c r="E32" s="33"/>
      <c r="F32" s="33"/>
      <c r="G32" s="9"/>
      <c r="H32" s="10" t="str">
        <f>IF($B32="","",IF($F32="Full Plot",'⚙️ Config'!$B$6,IF($F32="Half Plot",'⚙️ Config'!$B$7,"")))</f>
        <v/>
      </c>
      <c r="I32" s="10" t="str">
        <f>IF($B32="","",IF($F32="Full Plot",$G32*'⚙️ Config'!$B$6,IF($F32="Half Plot",($G32/'⚙️ Config'!$E$7)*'⚙️ Config'!$B$7,0)))</f>
        <v/>
      </c>
      <c r="J32" s="11" t="str">
        <f>IF($B32="","",IF($F32="Full Plot",$G32*'⚙️ Config'!$C$6,IF($F32="Half Plot",($G32/'⚙️ Config'!$E$7)*'⚙️ Config'!$C$7,0)))</f>
        <v/>
      </c>
      <c r="K32" s="12" t="str">
        <f t="shared" si="4"/>
        <v/>
      </c>
      <c r="L32" s="25"/>
      <c r="M32" s="34" t="str">
        <f>IF($B32="","",IF($L32="","",IF($F32="Full Plot",$G32,IF($F32="Half Plot",$G32/'⚙️ Config'!$E$7,0))*IFERROR(VLOOKUP($L32,'⚙️ Config'!$A$11:$B$14,2,0),0)))</f>
        <v/>
      </c>
      <c r="N32" s="35" t="str">
        <f t="shared" si="5"/>
        <v/>
      </c>
      <c r="O32" s="33"/>
      <c r="P32" s="33"/>
      <c r="Q32" s="22"/>
      <c r="R32" s="36" t="str">
        <f t="shared" si="6"/>
        <v/>
      </c>
      <c r="S32" s="37"/>
      <c r="T32" s="38"/>
    </row>
    <row r="33" spans="1:20" ht="21" customHeight="1" x14ac:dyDescent="0.35">
      <c r="A33" s="29" t="str">
        <f t="shared" si="7"/>
        <v/>
      </c>
      <c r="B33" s="30"/>
      <c r="C33" s="31"/>
      <c r="D33" s="32"/>
      <c r="E33" s="33"/>
      <c r="F33" s="33"/>
      <c r="G33" s="9"/>
      <c r="H33" s="10" t="str">
        <f>IF($B33="","",IF($F33="Full Plot",'⚙️ Config'!$B$6,IF($F33="Half Plot",'⚙️ Config'!$B$7,"")))</f>
        <v/>
      </c>
      <c r="I33" s="10" t="str">
        <f>IF($B33="","",IF($F33="Full Plot",$G33*'⚙️ Config'!$B$6,IF($F33="Half Plot",($G33/'⚙️ Config'!$E$7)*'⚙️ Config'!$B$7,0)))</f>
        <v/>
      </c>
      <c r="J33" s="11" t="str">
        <f>IF($B33="","",IF($F33="Full Plot",$G33*'⚙️ Config'!$C$6,IF($F33="Half Plot",($G33/'⚙️ Config'!$E$7)*'⚙️ Config'!$C$7,0)))</f>
        <v/>
      </c>
      <c r="K33" s="12" t="str">
        <f t="shared" si="4"/>
        <v/>
      </c>
      <c r="L33" s="25"/>
      <c r="M33" s="34" t="str">
        <f>IF($B33="","",IF($L33="","",IF($F33="Full Plot",$G33,IF($F33="Half Plot",$G33/'⚙️ Config'!$E$7,0))*IFERROR(VLOOKUP($L33,'⚙️ Config'!$A$11:$B$14,2,0),0)))</f>
        <v/>
      </c>
      <c r="N33" s="35" t="str">
        <f t="shared" si="5"/>
        <v/>
      </c>
      <c r="O33" s="33"/>
      <c r="P33" s="33"/>
      <c r="Q33" s="22"/>
      <c r="R33" s="36" t="str">
        <f t="shared" si="6"/>
        <v/>
      </c>
      <c r="S33" s="37"/>
      <c r="T33" s="38"/>
    </row>
    <row r="34" spans="1:20" ht="21" customHeight="1" x14ac:dyDescent="0.35">
      <c r="A34" s="29" t="str">
        <f t="shared" si="7"/>
        <v/>
      </c>
      <c r="B34" s="30"/>
      <c r="C34" s="31"/>
      <c r="D34" s="32"/>
      <c r="E34" s="33"/>
      <c r="F34" s="33"/>
      <c r="G34" s="9"/>
      <c r="H34" s="10" t="str">
        <f>IF($B34="","",IF($F34="Full Plot",'⚙️ Config'!$B$6,IF($F34="Half Plot",'⚙️ Config'!$B$7,"")))</f>
        <v/>
      </c>
      <c r="I34" s="10" t="str">
        <f>IF($B34="","",IF($F34="Full Plot",$G34*'⚙️ Config'!$B$6,IF($F34="Half Plot",($G34/'⚙️ Config'!$E$7)*'⚙️ Config'!$B$7,0)))</f>
        <v/>
      </c>
      <c r="J34" s="11" t="str">
        <f>IF($B34="","",IF($F34="Full Plot",$G34*'⚙️ Config'!$C$6,IF($F34="Half Plot",($G34/'⚙️ Config'!$E$7)*'⚙️ Config'!$C$7,0)))</f>
        <v/>
      </c>
      <c r="K34" s="12" t="str">
        <f t="shared" si="4"/>
        <v/>
      </c>
      <c r="L34" s="25"/>
      <c r="M34" s="34" t="str">
        <f>IF($B34="","",IF($L34="","",IF($F34="Full Plot",$G34,IF($F34="Half Plot",$G34/'⚙️ Config'!$E$7,0))*IFERROR(VLOOKUP($L34,'⚙️ Config'!$A$11:$B$14,2,0),0)))</f>
        <v/>
      </c>
      <c r="N34" s="35" t="str">
        <f t="shared" si="5"/>
        <v/>
      </c>
      <c r="O34" s="33"/>
      <c r="P34" s="33"/>
      <c r="Q34" s="22"/>
      <c r="R34" s="36" t="str">
        <f t="shared" si="6"/>
        <v/>
      </c>
      <c r="S34" s="37"/>
      <c r="T34" s="38"/>
    </row>
    <row r="35" spans="1:20" ht="21" customHeight="1" x14ac:dyDescent="0.35">
      <c r="A35" s="29" t="str">
        <f t="shared" si="7"/>
        <v/>
      </c>
      <c r="B35" s="30"/>
      <c r="C35" s="31"/>
      <c r="D35" s="32"/>
      <c r="E35" s="33"/>
      <c r="F35" s="33"/>
      <c r="G35" s="9"/>
      <c r="H35" s="10" t="str">
        <f>IF($B35="","",IF($F35="Full Plot",'⚙️ Config'!$B$6,IF($F35="Half Plot",'⚙️ Config'!$B$7,"")))</f>
        <v/>
      </c>
      <c r="I35" s="10" t="str">
        <f>IF($B35="","",IF($F35="Full Plot",$G35*'⚙️ Config'!$B$6,IF($F35="Half Plot",($G35/'⚙️ Config'!$E$7)*'⚙️ Config'!$B$7,0)))</f>
        <v/>
      </c>
      <c r="J35" s="11" t="str">
        <f>IF($B35="","",IF($F35="Full Plot",$G35*'⚙️ Config'!$C$6,IF($F35="Half Plot",($G35/'⚙️ Config'!$E$7)*'⚙️ Config'!$C$7,0)))</f>
        <v/>
      </c>
      <c r="K35" s="12" t="str">
        <f t="shared" si="4"/>
        <v/>
      </c>
      <c r="L35" s="25"/>
      <c r="M35" s="34" t="str">
        <f>IF($B35="","",IF($L35="","",IF($F35="Full Plot",$G35,IF($F35="Half Plot",$G35/'⚙️ Config'!$E$7,0))*IFERROR(VLOOKUP($L35,'⚙️ Config'!$A$11:$B$14,2,0),0)))</f>
        <v/>
      </c>
      <c r="N35" s="35" t="str">
        <f t="shared" si="5"/>
        <v/>
      </c>
      <c r="O35" s="33"/>
      <c r="P35" s="33"/>
      <c r="Q35" s="22"/>
      <c r="R35" s="36" t="str">
        <f t="shared" si="6"/>
        <v/>
      </c>
      <c r="S35" s="37"/>
      <c r="T35" s="38"/>
    </row>
    <row r="36" spans="1:20" ht="21" customHeight="1" x14ac:dyDescent="0.35">
      <c r="A36" s="29" t="str">
        <f t="shared" si="7"/>
        <v/>
      </c>
      <c r="B36" s="30"/>
      <c r="C36" s="31"/>
      <c r="D36" s="32"/>
      <c r="E36" s="33"/>
      <c r="F36" s="33"/>
      <c r="G36" s="9"/>
      <c r="H36" s="10" t="str">
        <f>IF($B36="","",IF($F36="Full Plot",'⚙️ Config'!$B$6,IF($F36="Half Plot",'⚙️ Config'!$B$7,"")))</f>
        <v/>
      </c>
      <c r="I36" s="10" t="str">
        <f>IF($B36="","",IF($F36="Full Plot",$G36*'⚙️ Config'!$B$6,IF($F36="Half Plot",($G36/'⚙️ Config'!$E$7)*'⚙️ Config'!$B$7,0)))</f>
        <v/>
      </c>
      <c r="J36" s="11" t="str">
        <f>IF($B36="","",IF($F36="Full Plot",$G36*'⚙️ Config'!$C$6,IF($F36="Half Plot",($G36/'⚙️ Config'!$E$7)*'⚙️ Config'!$C$7,0)))</f>
        <v/>
      </c>
      <c r="K36" s="12" t="str">
        <f t="shared" si="4"/>
        <v/>
      </c>
      <c r="L36" s="25"/>
      <c r="M36" s="34" t="str">
        <f>IF($B36="","",IF($L36="","",IF($F36="Full Plot",$G36,IF($F36="Half Plot",$G36/'⚙️ Config'!$E$7,0))*IFERROR(VLOOKUP($L36,'⚙️ Config'!$A$11:$B$14,2,0),0)))</f>
        <v/>
      </c>
      <c r="N36" s="35" t="str">
        <f t="shared" si="5"/>
        <v/>
      </c>
      <c r="O36" s="33"/>
      <c r="P36" s="33"/>
      <c r="Q36" s="22"/>
      <c r="R36" s="36" t="str">
        <f t="shared" si="6"/>
        <v/>
      </c>
      <c r="S36" s="37"/>
      <c r="T36" s="38"/>
    </row>
    <row r="37" spans="1:20" ht="21" customHeight="1" x14ac:dyDescent="0.35">
      <c r="A37" s="29" t="str">
        <f t="shared" si="7"/>
        <v/>
      </c>
      <c r="B37" s="30"/>
      <c r="C37" s="31"/>
      <c r="D37" s="32"/>
      <c r="E37" s="33"/>
      <c r="F37" s="33"/>
      <c r="G37" s="9"/>
      <c r="H37" s="10" t="str">
        <f>IF($B37="","",IF($F37="Full Plot",'⚙️ Config'!$B$6,IF($F37="Half Plot",'⚙️ Config'!$B$7,"")))</f>
        <v/>
      </c>
      <c r="I37" s="10" t="str">
        <f>IF($B37="","",IF($F37="Full Plot",$G37*'⚙️ Config'!$B$6,IF($F37="Half Plot",($G37/'⚙️ Config'!$E$7)*'⚙️ Config'!$B$7,0)))</f>
        <v/>
      </c>
      <c r="J37" s="11" t="str">
        <f>IF($B37="","",IF($F37="Full Plot",$G37*'⚙️ Config'!$C$6,IF($F37="Half Plot",($G37/'⚙️ Config'!$E$7)*'⚙️ Config'!$C$7,0)))</f>
        <v/>
      </c>
      <c r="K37" s="12" t="str">
        <f t="shared" si="4"/>
        <v/>
      </c>
      <c r="L37" s="25"/>
      <c r="M37" s="34" t="str">
        <f>IF($B37="","",IF($L37="","",IF($F37="Full Plot",$G37,IF($F37="Half Plot",$G37/'⚙️ Config'!$E$7,0))*IFERROR(VLOOKUP($L37,'⚙️ Config'!$A$11:$B$14,2,0),0)))</f>
        <v/>
      </c>
      <c r="N37" s="35" t="str">
        <f t="shared" si="5"/>
        <v/>
      </c>
      <c r="O37" s="33"/>
      <c r="P37" s="33"/>
      <c r="Q37" s="22"/>
      <c r="R37" s="36" t="str">
        <f t="shared" si="6"/>
        <v/>
      </c>
      <c r="S37" s="37"/>
      <c r="T37" s="38"/>
    </row>
    <row r="38" spans="1:20" ht="21" customHeight="1" x14ac:dyDescent="0.35">
      <c r="A38" s="29" t="str">
        <f t="shared" si="7"/>
        <v/>
      </c>
      <c r="B38" s="30"/>
      <c r="C38" s="31"/>
      <c r="D38" s="32"/>
      <c r="E38" s="33"/>
      <c r="F38" s="33"/>
      <c r="G38" s="9"/>
      <c r="H38" s="10" t="str">
        <f>IF($B38="","",IF($F38="Full Plot",'⚙️ Config'!$B$6,IF($F38="Half Plot",'⚙️ Config'!$B$7,"")))</f>
        <v/>
      </c>
      <c r="I38" s="10" t="str">
        <f>IF($B38="","",IF($F38="Full Plot",$G38*'⚙️ Config'!$B$6,IF($F38="Half Plot",($G38/'⚙️ Config'!$E$7)*'⚙️ Config'!$B$7,0)))</f>
        <v/>
      </c>
      <c r="J38" s="11" t="str">
        <f>IF($B38="","",IF($F38="Full Plot",$G38*'⚙️ Config'!$C$6,IF($F38="Half Plot",($G38/'⚙️ Config'!$E$7)*'⚙️ Config'!$C$7,0)))</f>
        <v/>
      </c>
      <c r="K38" s="12" t="str">
        <f t="shared" si="4"/>
        <v/>
      </c>
      <c r="L38" s="25"/>
      <c r="M38" s="34" t="str">
        <f>IF($B38="","",IF($L38="","",IF($F38="Full Plot",$G38,IF($F38="Half Plot",$G38/'⚙️ Config'!$E$7,0))*IFERROR(VLOOKUP($L38,'⚙️ Config'!$A$11:$B$14,2,0),0)))</f>
        <v/>
      </c>
      <c r="N38" s="35" t="str">
        <f t="shared" si="5"/>
        <v/>
      </c>
      <c r="O38" s="33"/>
      <c r="P38" s="33"/>
      <c r="Q38" s="22"/>
      <c r="R38" s="36" t="str">
        <f t="shared" si="6"/>
        <v/>
      </c>
      <c r="S38" s="37"/>
      <c r="T38" s="38"/>
    </row>
    <row r="39" spans="1:20" ht="21" customHeight="1" x14ac:dyDescent="0.35">
      <c r="A39" s="29" t="str">
        <f t="shared" si="7"/>
        <v/>
      </c>
      <c r="B39" s="30"/>
      <c r="C39" s="31"/>
      <c r="D39" s="32"/>
      <c r="E39" s="33"/>
      <c r="F39" s="33"/>
      <c r="G39" s="9"/>
      <c r="H39" s="10" t="str">
        <f>IF($B39="","",IF($F39="Full Plot",'⚙️ Config'!$B$6,IF($F39="Half Plot",'⚙️ Config'!$B$7,"")))</f>
        <v/>
      </c>
      <c r="I39" s="10" t="str">
        <f>IF($B39="","",IF($F39="Full Plot",$G39*'⚙️ Config'!$B$6,IF($F39="Half Plot",($G39/'⚙️ Config'!$E$7)*'⚙️ Config'!$B$7,0)))</f>
        <v/>
      </c>
      <c r="J39" s="11" t="str">
        <f>IF($B39="","",IF($F39="Full Plot",$G39*'⚙️ Config'!$C$6,IF($F39="Half Plot",($G39/'⚙️ Config'!$E$7)*'⚙️ Config'!$C$7,0)))</f>
        <v/>
      </c>
      <c r="K39" s="12" t="str">
        <f t="shared" si="4"/>
        <v/>
      </c>
      <c r="L39" s="25"/>
      <c r="M39" s="34" t="str">
        <f>IF($B39="","",IF($L39="","",IF($F39="Full Plot",$G39,IF($F39="Half Plot",$G39/'⚙️ Config'!$E$7,0))*IFERROR(VLOOKUP($L39,'⚙️ Config'!$A$11:$B$14,2,0),0)))</f>
        <v/>
      </c>
      <c r="N39" s="35" t="str">
        <f t="shared" si="5"/>
        <v/>
      </c>
      <c r="O39" s="33"/>
      <c r="P39" s="33"/>
      <c r="Q39" s="22"/>
      <c r="R39" s="36" t="str">
        <f t="shared" si="6"/>
        <v/>
      </c>
      <c r="S39" s="37"/>
      <c r="T39" s="38"/>
    </row>
    <row r="40" spans="1:20" ht="21" customHeight="1" x14ac:dyDescent="0.35">
      <c r="A40" s="29" t="str">
        <f t="shared" si="7"/>
        <v/>
      </c>
      <c r="B40" s="30"/>
      <c r="C40" s="31"/>
      <c r="D40" s="32"/>
      <c r="E40" s="33"/>
      <c r="F40" s="33"/>
      <c r="G40" s="9"/>
      <c r="H40" s="10" t="str">
        <f>IF($B40="","",IF($F40="Full Plot",'⚙️ Config'!$B$6,IF($F40="Half Plot",'⚙️ Config'!$B$7,"")))</f>
        <v/>
      </c>
      <c r="I40" s="10" t="str">
        <f>IF($B40="","",IF($F40="Full Plot",$G40*'⚙️ Config'!$B$6,IF($F40="Half Plot",($G40/'⚙️ Config'!$E$7)*'⚙️ Config'!$B$7,0)))</f>
        <v/>
      </c>
      <c r="J40" s="11" t="str">
        <f>IF($B40="","",IF($F40="Full Plot",$G40*'⚙️ Config'!$C$6,IF($F40="Half Plot",($G40/'⚙️ Config'!$E$7)*'⚙️ Config'!$C$7,0)))</f>
        <v/>
      </c>
      <c r="K40" s="12" t="str">
        <f t="shared" si="4"/>
        <v/>
      </c>
      <c r="L40" s="25"/>
      <c r="M40" s="34" t="str">
        <f>IF($B40="","",IF($L40="","",IF($F40="Full Plot",$G40,IF($F40="Half Plot",$G40/'⚙️ Config'!$E$7,0))*IFERROR(VLOOKUP($L40,'⚙️ Config'!$A$11:$B$14,2,0),0)))</f>
        <v/>
      </c>
      <c r="N40" s="35" t="str">
        <f t="shared" si="5"/>
        <v/>
      </c>
      <c r="O40" s="33"/>
      <c r="P40" s="33"/>
      <c r="Q40" s="22"/>
      <c r="R40" s="36" t="str">
        <f t="shared" si="6"/>
        <v/>
      </c>
      <c r="S40" s="37"/>
      <c r="T40" s="38"/>
    </row>
    <row r="41" spans="1:20" ht="21" customHeight="1" x14ac:dyDescent="0.35">
      <c r="A41" s="29" t="str">
        <f t="shared" si="7"/>
        <v/>
      </c>
      <c r="B41" s="30"/>
      <c r="C41" s="31"/>
      <c r="D41" s="32"/>
      <c r="E41" s="33"/>
      <c r="F41" s="33"/>
      <c r="G41" s="9"/>
      <c r="H41" s="10" t="str">
        <f>IF($B41="","",IF($F41="Full Plot",'⚙️ Config'!$B$6,IF($F41="Half Plot",'⚙️ Config'!$B$7,"")))</f>
        <v/>
      </c>
      <c r="I41" s="10" t="str">
        <f>IF($B41="","",IF($F41="Full Plot",$G41*'⚙️ Config'!$B$6,IF($F41="Half Plot",($G41/'⚙️ Config'!$E$7)*'⚙️ Config'!$B$7,0)))</f>
        <v/>
      </c>
      <c r="J41" s="11" t="str">
        <f>IF($B41="","",IF($F41="Full Plot",$G41*'⚙️ Config'!$C$6,IF($F41="Half Plot",($G41/'⚙️ Config'!$E$7)*'⚙️ Config'!$C$7,0)))</f>
        <v/>
      </c>
      <c r="K41" s="12" t="str">
        <f t="shared" si="4"/>
        <v/>
      </c>
      <c r="L41" s="25"/>
      <c r="M41" s="34" t="str">
        <f>IF($B41="","",IF($L41="","",IF($F41="Full Plot",$G41,IF($F41="Half Plot",$G41/'⚙️ Config'!$E$7,0))*IFERROR(VLOOKUP($L41,'⚙️ Config'!$A$11:$B$14,2,0),0)))</f>
        <v/>
      </c>
      <c r="N41" s="35" t="str">
        <f t="shared" si="5"/>
        <v/>
      </c>
      <c r="O41" s="33"/>
      <c r="P41" s="33"/>
      <c r="Q41" s="22"/>
      <c r="R41" s="36" t="str">
        <f t="shared" si="6"/>
        <v/>
      </c>
      <c r="S41" s="37"/>
      <c r="T41" s="38"/>
    </row>
    <row r="42" spans="1:20" ht="21" customHeight="1" x14ac:dyDescent="0.35">
      <c r="A42" s="29" t="str">
        <f t="shared" si="7"/>
        <v/>
      </c>
      <c r="B42" s="30"/>
      <c r="C42" s="31"/>
      <c r="D42" s="32"/>
      <c r="E42" s="33"/>
      <c r="F42" s="33"/>
      <c r="G42" s="9"/>
      <c r="H42" s="10" t="str">
        <f>IF($B42="","",IF($F42="Full Plot",'⚙️ Config'!$B$6,IF($F42="Half Plot",'⚙️ Config'!$B$7,"")))</f>
        <v/>
      </c>
      <c r="I42" s="10" t="str">
        <f>IF($B42="","",IF($F42="Full Plot",$G42*'⚙️ Config'!$B$6,IF($F42="Half Plot",($G42/'⚙️ Config'!$E$7)*'⚙️ Config'!$B$7,0)))</f>
        <v/>
      </c>
      <c r="J42" s="11" t="str">
        <f>IF($B42="","",IF($F42="Full Plot",$G42*'⚙️ Config'!$C$6,IF($F42="Half Plot",($G42/'⚙️ Config'!$E$7)*'⚙️ Config'!$C$7,0)))</f>
        <v/>
      </c>
      <c r="K42" s="12" t="str">
        <f t="shared" si="4"/>
        <v/>
      </c>
      <c r="L42" s="25"/>
      <c r="M42" s="34" t="str">
        <f>IF($B42="","",IF($L42="","",IF($F42="Full Plot",$G42,IF($F42="Half Plot",$G42/'⚙️ Config'!$E$7,0))*IFERROR(VLOOKUP($L42,'⚙️ Config'!$A$11:$B$14,2,0),0)))</f>
        <v/>
      </c>
      <c r="N42" s="35" t="str">
        <f t="shared" si="5"/>
        <v/>
      </c>
      <c r="O42" s="33"/>
      <c r="P42" s="33"/>
      <c r="Q42" s="22"/>
      <c r="R42" s="36" t="str">
        <f t="shared" si="6"/>
        <v/>
      </c>
      <c r="S42" s="37"/>
      <c r="T42" s="38"/>
    </row>
    <row r="43" spans="1:20" ht="21" customHeight="1" x14ac:dyDescent="0.35">
      <c r="A43" s="29" t="str">
        <f t="shared" si="7"/>
        <v/>
      </c>
      <c r="B43" s="30"/>
      <c r="C43" s="31"/>
      <c r="D43" s="32"/>
      <c r="E43" s="33"/>
      <c r="F43" s="33"/>
      <c r="G43" s="9"/>
      <c r="H43" s="10" t="str">
        <f>IF($B43="","",IF($F43="Full Plot",'⚙️ Config'!$B$6,IF($F43="Half Plot",'⚙️ Config'!$B$7,"")))</f>
        <v/>
      </c>
      <c r="I43" s="10" t="str">
        <f>IF($B43="","",IF($F43="Full Plot",$G43*'⚙️ Config'!$B$6,IF($F43="Half Plot",($G43/'⚙️ Config'!$E$7)*'⚙️ Config'!$B$7,0)))</f>
        <v/>
      </c>
      <c r="J43" s="11" t="str">
        <f>IF($B43="","",IF($F43="Full Plot",$G43*'⚙️ Config'!$C$6,IF($F43="Half Plot",($G43/'⚙️ Config'!$E$7)*'⚙️ Config'!$C$7,0)))</f>
        <v/>
      </c>
      <c r="K43" s="12" t="str">
        <f t="shared" si="4"/>
        <v/>
      </c>
      <c r="L43" s="25"/>
      <c r="M43" s="34" t="str">
        <f>IF($B43="","",IF($L43="","",IF($F43="Full Plot",$G43,IF($F43="Half Plot",$G43/'⚙️ Config'!$E$7,0))*IFERROR(VLOOKUP($L43,'⚙️ Config'!$A$11:$B$14,2,0),0)))</f>
        <v/>
      </c>
      <c r="N43" s="35" t="str">
        <f t="shared" si="5"/>
        <v/>
      </c>
      <c r="O43" s="33"/>
      <c r="P43" s="33"/>
      <c r="Q43" s="22"/>
      <c r="R43" s="36" t="str">
        <f t="shared" si="6"/>
        <v/>
      </c>
      <c r="S43" s="37"/>
      <c r="T43" s="38"/>
    </row>
    <row r="44" spans="1:20" ht="21" customHeight="1" x14ac:dyDescent="0.35">
      <c r="A44" s="29" t="str">
        <f t="shared" si="7"/>
        <v/>
      </c>
      <c r="B44" s="30"/>
      <c r="C44" s="31"/>
      <c r="D44" s="32"/>
      <c r="E44" s="33"/>
      <c r="F44" s="33"/>
      <c r="G44" s="9"/>
      <c r="H44" s="10" t="str">
        <f>IF($B44="","",IF($F44="Full Plot",'⚙️ Config'!$B$6,IF($F44="Half Plot",'⚙️ Config'!$B$7,"")))</f>
        <v/>
      </c>
      <c r="I44" s="10" t="str">
        <f>IF($B44="","",IF($F44="Full Plot",$G44*'⚙️ Config'!$B$6,IF($F44="Half Plot",($G44/'⚙️ Config'!$E$7)*'⚙️ Config'!$B$7,0)))</f>
        <v/>
      </c>
      <c r="J44" s="11" t="str">
        <f>IF($B44="","",IF($F44="Full Plot",$G44*'⚙️ Config'!$C$6,IF($F44="Half Plot",($G44/'⚙️ Config'!$E$7)*'⚙️ Config'!$C$7,0)))</f>
        <v/>
      </c>
      <c r="K44" s="12" t="str">
        <f t="shared" si="4"/>
        <v/>
      </c>
      <c r="L44" s="25"/>
      <c r="M44" s="34" t="str">
        <f>IF($B44="","",IF($L44="","",IF($F44="Full Plot",$G44,IF($F44="Half Plot",$G44/'⚙️ Config'!$E$7,0))*IFERROR(VLOOKUP($L44,'⚙️ Config'!$A$11:$B$14,2,0),0)))</f>
        <v/>
      </c>
      <c r="N44" s="35" t="str">
        <f t="shared" si="5"/>
        <v/>
      </c>
      <c r="O44" s="33"/>
      <c r="P44" s="33"/>
      <c r="Q44" s="22"/>
      <c r="R44" s="36" t="str">
        <f t="shared" si="6"/>
        <v/>
      </c>
      <c r="S44" s="37"/>
      <c r="T44" s="38"/>
    </row>
    <row r="45" spans="1:20" ht="21" customHeight="1" x14ac:dyDescent="0.35">
      <c r="A45" s="29" t="str">
        <f t="shared" si="7"/>
        <v/>
      </c>
      <c r="B45" s="30"/>
      <c r="C45" s="31"/>
      <c r="D45" s="32"/>
      <c r="E45" s="33"/>
      <c r="F45" s="33"/>
      <c r="G45" s="9"/>
      <c r="H45" s="10" t="str">
        <f>IF($B45="","",IF($F45="Full Plot",'⚙️ Config'!$B$6,IF($F45="Half Plot",'⚙️ Config'!$B$7,"")))</f>
        <v/>
      </c>
      <c r="I45" s="10" t="str">
        <f>IF($B45="","",IF($F45="Full Plot",$G45*'⚙️ Config'!$B$6,IF($F45="Half Plot",($G45/'⚙️ Config'!$E$7)*'⚙️ Config'!$B$7,0)))</f>
        <v/>
      </c>
      <c r="J45" s="11" t="str">
        <f>IF($B45="","",IF($F45="Full Plot",$G45*'⚙️ Config'!$C$6,IF($F45="Half Plot",($G45/'⚙️ Config'!$E$7)*'⚙️ Config'!$C$7,0)))</f>
        <v/>
      </c>
      <c r="K45" s="12" t="str">
        <f t="shared" si="4"/>
        <v/>
      </c>
      <c r="L45" s="25"/>
      <c r="M45" s="34" t="str">
        <f>IF($B45="","",IF($L45="","",IF($F45="Full Plot",$G45,IF($F45="Half Plot",$G45/'⚙️ Config'!$E$7,0))*IFERROR(VLOOKUP($L45,'⚙️ Config'!$A$11:$B$14,2,0),0)))</f>
        <v/>
      </c>
      <c r="N45" s="35" t="str">
        <f t="shared" si="5"/>
        <v/>
      </c>
      <c r="O45" s="33"/>
      <c r="P45" s="33"/>
      <c r="Q45" s="22"/>
      <c r="R45" s="36" t="str">
        <f t="shared" si="6"/>
        <v/>
      </c>
      <c r="S45" s="37"/>
      <c r="T45" s="38"/>
    </row>
    <row r="46" spans="1:20" ht="21" customHeight="1" x14ac:dyDescent="0.35">
      <c r="A46" s="29" t="str">
        <f t="shared" si="7"/>
        <v/>
      </c>
      <c r="B46" s="30"/>
      <c r="C46" s="31"/>
      <c r="D46" s="32"/>
      <c r="E46" s="33"/>
      <c r="F46" s="33"/>
      <c r="G46" s="9"/>
      <c r="H46" s="10" t="str">
        <f>IF($B46="","",IF($F46="Full Plot",'⚙️ Config'!$B$6,IF($F46="Half Plot",'⚙️ Config'!$B$7,"")))</f>
        <v/>
      </c>
      <c r="I46" s="10" t="str">
        <f>IF($B46="","",IF($F46="Full Plot",$G46*'⚙️ Config'!$B$6,IF($F46="Half Plot",($G46/'⚙️ Config'!$E$7)*'⚙️ Config'!$B$7,0)))</f>
        <v/>
      </c>
      <c r="J46" s="11" t="str">
        <f>IF($B46="","",IF($F46="Full Plot",$G46*'⚙️ Config'!$C$6,IF($F46="Half Plot",($G46/'⚙️ Config'!$E$7)*'⚙️ Config'!$C$7,0)))</f>
        <v/>
      </c>
      <c r="K46" s="12" t="str">
        <f t="shared" si="4"/>
        <v/>
      </c>
      <c r="L46" s="25"/>
      <c r="M46" s="34" t="str">
        <f>IF($B46="","",IF($L46="","",IF($F46="Full Plot",$G46,IF($F46="Half Plot",$G46/'⚙️ Config'!$E$7,0))*IFERROR(VLOOKUP($L46,'⚙️ Config'!$A$11:$B$14,2,0),0)))</f>
        <v/>
      </c>
      <c r="N46" s="35" t="str">
        <f t="shared" si="5"/>
        <v/>
      </c>
      <c r="O46" s="33"/>
      <c r="P46" s="33"/>
      <c r="Q46" s="22"/>
      <c r="R46" s="36" t="str">
        <f t="shared" si="6"/>
        <v/>
      </c>
      <c r="S46" s="37"/>
      <c r="T46" s="38"/>
    </row>
    <row r="47" spans="1:20" ht="21" customHeight="1" x14ac:dyDescent="0.35">
      <c r="A47" s="29" t="str">
        <f t="shared" si="7"/>
        <v/>
      </c>
      <c r="B47" s="30"/>
      <c r="C47" s="31"/>
      <c r="D47" s="32"/>
      <c r="E47" s="33"/>
      <c r="F47" s="33"/>
      <c r="G47" s="9"/>
      <c r="H47" s="10" t="str">
        <f>IF($B47="","",IF($F47="Full Plot",'⚙️ Config'!$B$6,IF($F47="Half Plot",'⚙️ Config'!$B$7,"")))</f>
        <v/>
      </c>
      <c r="I47" s="10" t="str">
        <f>IF($B47="","",IF($F47="Full Plot",$G47*'⚙️ Config'!$B$6,IF($F47="Half Plot",($G47/'⚙️ Config'!$E$7)*'⚙️ Config'!$B$7,0)))</f>
        <v/>
      </c>
      <c r="J47" s="11" t="str">
        <f>IF($B47="","",IF($F47="Full Plot",$G47*'⚙️ Config'!$C$6,IF($F47="Half Plot",($G47/'⚙️ Config'!$E$7)*'⚙️ Config'!$C$7,0)))</f>
        <v/>
      </c>
      <c r="K47" s="12" t="str">
        <f t="shared" si="4"/>
        <v/>
      </c>
      <c r="L47" s="25"/>
      <c r="M47" s="34" t="str">
        <f>IF($B47="","",IF($L47="","",IF($F47="Full Plot",$G47,IF($F47="Half Plot",$G47/'⚙️ Config'!$E$7,0))*IFERROR(VLOOKUP($L47,'⚙️ Config'!$A$11:$B$14,2,0),0)))</f>
        <v/>
      </c>
      <c r="N47" s="35" t="str">
        <f t="shared" si="5"/>
        <v/>
      </c>
      <c r="O47" s="33"/>
      <c r="P47" s="33"/>
      <c r="Q47" s="22"/>
      <c r="R47" s="36" t="str">
        <f t="shared" si="6"/>
        <v/>
      </c>
      <c r="S47" s="37"/>
      <c r="T47" s="38"/>
    </row>
    <row r="48" spans="1:20" ht="21" customHeight="1" x14ac:dyDescent="0.35">
      <c r="A48" s="29" t="str">
        <f t="shared" si="7"/>
        <v/>
      </c>
      <c r="B48" s="30"/>
      <c r="C48" s="31"/>
      <c r="D48" s="32"/>
      <c r="E48" s="33"/>
      <c r="F48" s="33"/>
      <c r="G48" s="9"/>
      <c r="H48" s="10" t="str">
        <f>IF($B48="","",IF($F48="Full Plot",'⚙️ Config'!$B$6,IF($F48="Half Plot",'⚙️ Config'!$B$7,"")))</f>
        <v/>
      </c>
      <c r="I48" s="10" t="str">
        <f>IF($B48="","",IF($F48="Full Plot",$G48*'⚙️ Config'!$B$6,IF($F48="Half Plot",($G48/'⚙️ Config'!$E$7)*'⚙️ Config'!$B$7,0)))</f>
        <v/>
      </c>
      <c r="J48" s="11" t="str">
        <f>IF($B48="","",IF($F48="Full Plot",$G48*'⚙️ Config'!$C$6,IF($F48="Half Plot",($G48/'⚙️ Config'!$E$7)*'⚙️ Config'!$C$7,0)))</f>
        <v/>
      </c>
      <c r="K48" s="12" t="str">
        <f t="shared" si="4"/>
        <v/>
      </c>
      <c r="L48" s="25"/>
      <c r="M48" s="34" t="str">
        <f>IF($B48="","",IF($L48="","",IF($F48="Full Plot",$G48,IF($F48="Half Plot",$G48/'⚙️ Config'!$E$7,0))*IFERROR(VLOOKUP($L48,'⚙️ Config'!$A$11:$B$14,2,0),0)))</f>
        <v/>
      </c>
      <c r="N48" s="35" t="str">
        <f t="shared" si="5"/>
        <v/>
      </c>
      <c r="O48" s="33"/>
      <c r="P48" s="33"/>
      <c r="Q48" s="22"/>
      <c r="R48" s="36" t="str">
        <f t="shared" si="6"/>
        <v/>
      </c>
      <c r="S48" s="37"/>
      <c r="T48" s="38"/>
    </row>
    <row r="49" spans="1:20" ht="21" customHeight="1" x14ac:dyDescent="0.35">
      <c r="A49" s="29" t="str">
        <f t="shared" si="7"/>
        <v/>
      </c>
      <c r="B49" s="30"/>
      <c r="C49" s="31"/>
      <c r="D49" s="32"/>
      <c r="E49" s="33"/>
      <c r="F49" s="33"/>
      <c r="G49" s="9"/>
      <c r="H49" s="10" t="str">
        <f>IF($B49="","",IF($F49="Full Plot",'⚙️ Config'!$B$6,IF($F49="Half Plot",'⚙️ Config'!$B$7,"")))</f>
        <v/>
      </c>
      <c r="I49" s="10" t="str">
        <f>IF($B49="","",IF($F49="Full Plot",$G49*'⚙️ Config'!$B$6,IF($F49="Half Plot",($G49/'⚙️ Config'!$E$7)*'⚙️ Config'!$B$7,0)))</f>
        <v/>
      </c>
      <c r="J49" s="11" t="str">
        <f>IF($B49="","",IF($F49="Full Plot",$G49*'⚙️ Config'!$C$6,IF($F49="Half Plot",($G49/'⚙️ Config'!$E$7)*'⚙️ Config'!$C$7,0)))</f>
        <v/>
      </c>
      <c r="K49" s="12" t="str">
        <f t="shared" si="4"/>
        <v/>
      </c>
      <c r="L49" s="25"/>
      <c r="M49" s="34" t="str">
        <f>IF($B49="","",IF($L49="","",IF($F49="Full Plot",$G49,IF($F49="Half Plot",$G49/'⚙️ Config'!$E$7,0))*IFERROR(VLOOKUP($L49,'⚙️ Config'!$A$11:$B$14,2,0),0)))</f>
        <v/>
      </c>
      <c r="N49" s="35" t="str">
        <f t="shared" si="5"/>
        <v/>
      </c>
      <c r="O49" s="33"/>
      <c r="P49" s="33"/>
      <c r="Q49" s="22"/>
      <c r="R49" s="36" t="str">
        <f t="shared" si="6"/>
        <v/>
      </c>
      <c r="S49" s="37"/>
      <c r="T49" s="38"/>
    </row>
    <row r="50" spans="1:20" ht="21" customHeight="1" x14ac:dyDescent="0.35">
      <c r="A50" s="29" t="str">
        <f t="shared" si="7"/>
        <v/>
      </c>
      <c r="B50" s="30"/>
      <c r="C50" s="31"/>
      <c r="D50" s="32"/>
      <c r="E50" s="33"/>
      <c r="F50" s="33"/>
      <c r="G50" s="9"/>
      <c r="H50" s="10" t="str">
        <f>IF($B50="","",IF($F50="Full Plot",'⚙️ Config'!$B$6,IF($F50="Half Plot",'⚙️ Config'!$B$7,"")))</f>
        <v/>
      </c>
      <c r="I50" s="10" t="str">
        <f>IF($B50="","",IF($F50="Full Plot",$G50*'⚙️ Config'!$B$6,IF($F50="Half Plot",($G50/'⚙️ Config'!$E$7)*'⚙️ Config'!$B$7,0)))</f>
        <v/>
      </c>
      <c r="J50" s="11" t="str">
        <f>IF($B50="","",IF($F50="Full Plot",$G50*'⚙️ Config'!$C$6,IF($F50="Half Plot",($G50/'⚙️ Config'!$E$7)*'⚙️ Config'!$C$7,0)))</f>
        <v/>
      </c>
      <c r="K50" s="12" t="str">
        <f t="shared" si="4"/>
        <v/>
      </c>
      <c r="L50" s="25"/>
      <c r="M50" s="34" t="str">
        <f>IF($B50="","",IF($L50="","",IF($F50="Full Plot",$G50,IF($F50="Half Plot",$G50/'⚙️ Config'!$E$7,0))*IFERROR(VLOOKUP($L50,'⚙️ Config'!$A$11:$B$14,2,0),0)))</f>
        <v/>
      </c>
      <c r="N50" s="35" t="str">
        <f t="shared" si="5"/>
        <v/>
      </c>
      <c r="O50" s="33"/>
      <c r="P50" s="33"/>
      <c r="Q50" s="22"/>
      <c r="R50" s="36" t="str">
        <f t="shared" si="6"/>
        <v/>
      </c>
      <c r="S50" s="37"/>
      <c r="T50" s="38"/>
    </row>
    <row r="51" spans="1:20" ht="27.75" customHeight="1" x14ac:dyDescent="0.35">
      <c r="A51" s="39" t="s">
        <v>74</v>
      </c>
    </row>
    <row r="52" spans="1:20" ht="21" customHeight="1" x14ac:dyDescent="0.35">
      <c r="A52" s="29" t="str">
        <f t="shared" ref="A52:A91" si="8">IF($B52="","",ROW()-7)</f>
        <v/>
      </c>
      <c r="B52" s="30"/>
      <c r="C52" s="31"/>
      <c r="D52" s="32"/>
      <c r="E52" s="33"/>
      <c r="F52" s="33"/>
      <c r="G52" s="9"/>
      <c r="H52" s="10" t="str">
        <f>IF($B52="","",IF($F52="Full Plot",'⚙️ Config'!$B$6,IF($F52="Half Plot",'⚙️ Config'!$B$7,"")))</f>
        <v/>
      </c>
      <c r="I52" s="10" t="str">
        <f>IF($B52="","",IF($F52="Full Plot",$G52*'⚙️ Config'!$B$6,IF($F52="Half Plot",($G52/'⚙️ Config'!$E$7)*'⚙️ Config'!$B$7,0)))</f>
        <v/>
      </c>
      <c r="J52" s="11" t="str">
        <f>IF($B52="","",IF($F52="Full Plot",$G52*'⚙️ Config'!$C$6,IF($F52="Half Plot",($G52/'⚙️ Config'!$E$7)*'⚙️ Config'!$C$7,0)))</f>
        <v/>
      </c>
      <c r="K52" s="12" t="str">
        <f t="shared" ref="K52:K91" si="9">IF($B52="","",IFERROR($I52-$J52,0))</f>
        <v/>
      </c>
      <c r="L52" s="25"/>
      <c r="M52" s="34" t="str">
        <f>IF($B52="","",IF($L52="","",IF($F52="Full Plot",$G52,IF($F52="Half Plot",$G52/'⚙️ Config'!$E$7,0))*IFERROR(VLOOKUP($L52,'⚙️ Config'!$A$11:$B$14,2,0),0)))</f>
        <v/>
      </c>
      <c r="N52" s="35" t="str">
        <f t="shared" ref="N52:N91" si="10">IF($B52="","",IFERROR($K52+IF($M52="",$K52*0,$M52),0))</f>
        <v/>
      </c>
      <c r="O52" s="33"/>
      <c r="P52" s="33"/>
      <c r="Q52" s="22"/>
      <c r="R52" s="36" t="str">
        <f t="shared" ref="R52:R91" si="11">IF($B52="","",IFERROR(MAX($N52-$Q52,0),0))</f>
        <v/>
      </c>
      <c r="S52" s="37"/>
      <c r="T52" s="38"/>
    </row>
    <row r="53" spans="1:20" ht="21" customHeight="1" x14ac:dyDescent="0.35">
      <c r="A53" s="29" t="str">
        <f t="shared" si="8"/>
        <v/>
      </c>
      <c r="B53" s="30"/>
      <c r="C53" s="31"/>
      <c r="D53" s="32"/>
      <c r="E53" s="33"/>
      <c r="F53" s="33"/>
      <c r="G53" s="9"/>
      <c r="H53" s="10" t="str">
        <f>IF($B53="","",IF($F53="Full Plot",'⚙️ Config'!$B$6,IF($F53="Half Plot",'⚙️ Config'!$B$7,"")))</f>
        <v/>
      </c>
      <c r="I53" s="10" t="str">
        <f>IF($B53="","",IF($F53="Full Plot",$G53*'⚙️ Config'!$B$6,IF($F53="Half Plot",($G53/'⚙️ Config'!$E$7)*'⚙️ Config'!$B$7,0)))</f>
        <v/>
      </c>
      <c r="J53" s="11" t="str">
        <f>IF($B53="","",IF($F53="Full Plot",$G53*'⚙️ Config'!$C$6,IF($F53="Half Plot",($G53/'⚙️ Config'!$E$7)*'⚙️ Config'!$C$7,0)))</f>
        <v/>
      </c>
      <c r="K53" s="12" t="str">
        <f t="shared" si="9"/>
        <v/>
      </c>
      <c r="L53" s="25"/>
      <c r="M53" s="34" t="str">
        <f>IF($B53="","",IF($L53="","",IF($F53="Full Plot",$G53,IF($F53="Half Plot",$G53/'⚙️ Config'!$E$7,0))*IFERROR(VLOOKUP($L53,'⚙️ Config'!$A$11:$B$14,2,0),0)))</f>
        <v/>
      </c>
      <c r="N53" s="35" t="str">
        <f t="shared" si="10"/>
        <v/>
      </c>
      <c r="O53" s="33"/>
      <c r="P53" s="33"/>
      <c r="Q53" s="22"/>
      <c r="R53" s="36" t="str">
        <f t="shared" si="11"/>
        <v/>
      </c>
      <c r="S53" s="37"/>
      <c r="T53" s="38"/>
    </row>
    <row r="54" spans="1:20" ht="21" customHeight="1" x14ac:dyDescent="0.35">
      <c r="A54" s="29" t="str">
        <f t="shared" si="8"/>
        <v/>
      </c>
      <c r="B54" s="30"/>
      <c r="C54" s="31"/>
      <c r="D54" s="32"/>
      <c r="E54" s="33"/>
      <c r="F54" s="33"/>
      <c r="G54" s="9"/>
      <c r="H54" s="10" t="str">
        <f>IF($B54="","",IF($F54="Full Plot",'⚙️ Config'!$B$6,IF($F54="Half Plot",'⚙️ Config'!$B$7,"")))</f>
        <v/>
      </c>
      <c r="I54" s="10" t="str">
        <f>IF($B54="","",IF($F54="Full Plot",$G54*'⚙️ Config'!$B$6,IF($F54="Half Plot",($G54/'⚙️ Config'!$E$7)*'⚙️ Config'!$B$7,0)))</f>
        <v/>
      </c>
      <c r="J54" s="11" t="str">
        <f>IF($B54="","",IF($F54="Full Plot",$G54*'⚙️ Config'!$C$6,IF($F54="Half Plot",($G54/'⚙️ Config'!$E$7)*'⚙️ Config'!$C$7,0)))</f>
        <v/>
      </c>
      <c r="K54" s="12" t="str">
        <f t="shared" si="9"/>
        <v/>
      </c>
      <c r="L54" s="25"/>
      <c r="M54" s="34" t="str">
        <f>IF($B54="","",IF($L54="","",IF($F54="Full Plot",$G54,IF($F54="Half Plot",$G54/'⚙️ Config'!$E$7,0))*IFERROR(VLOOKUP($L54,'⚙️ Config'!$A$11:$B$14,2,0),0)))</f>
        <v/>
      </c>
      <c r="N54" s="35" t="str">
        <f t="shared" si="10"/>
        <v/>
      </c>
      <c r="O54" s="33"/>
      <c r="P54" s="33"/>
      <c r="Q54" s="22"/>
      <c r="R54" s="36" t="str">
        <f t="shared" si="11"/>
        <v/>
      </c>
      <c r="S54" s="37"/>
      <c r="T54" s="38"/>
    </row>
    <row r="55" spans="1:20" ht="21" customHeight="1" x14ac:dyDescent="0.35">
      <c r="A55" s="29" t="str">
        <f t="shared" si="8"/>
        <v/>
      </c>
      <c r="B55" s="30"/>
      <c r="C55" s="31"/>
      <c r="D55" s="32"/>
      <c r="E55" s="33"/>
      <c r="F55" s="33"/>
      <c r="G55" s="9"/>
      <c r="H55" s="10" t="str">
        <f>IF($B55="","",IF($F55="Full Plot",'⚙️ Config'!$B$6,IF($F55="Half Plot",'⚙️ Config'!$B$7,"")))</f>
        <v/>
      </c>
      <c r="I55" s="10" t="str">
        <f>IF($B55="","",IF($F55="Full Plot",$G55*'⚙️ Config'!$B$6,IF($F55="Half Plot",($G55/'⚙️ Config'!$E$7)*'⚙️ Config'!$B$7,0)))</f>
        <v/>
      </c>
      <c r="J55" s="11" t="str">
        <f>IF($B55="","",IF($F55="Full Plot",$G55*'⚙️ Config'!$C$6,IF($F55="Half Plot",($G55/'⚙️ Config'!$E$7)*'⚙️ Config'!$C$7,0)))</f>
        <v/>
      </c>
      <c r="K55" s="12" t="str">
        <f t="shared" si="9"/>
        <v/>
      </c>
      <c r="L55" s="25"/>
      <c r="M55" s="34" t="str">
        <f>IF($B55="","",IF($L55="","",IF($F55="Full Plot",$G55,IF($F55="Half Plot",$G55/'⚙️ Config'!$E$7,0))*IFERROR(VLOOKUP($L55,'⚙️ Config'!$A$11:$B$14,2,0),0)))</f>
        <v/>
      </c>
      <c r="N55" s="35" t="str">
        <f t="shared" si="10"/>
        <v/>
      </c>
      <c r="O55" s="33"/>
      <c r="P55" s="33"/>
      <c r="Q55" s="22"/>
      <c r="R55" s="36" t="str">
        <f t="shared" si="11"/>
        <v/>
      </c>
      <c r="S55" s="37"/>
      <c r="T55" s="38"/>
    </row>
    <row r="56" spans="1:20" ht="21" customHeight="1" x14ac:dyDescent="0.35">
      <c r="A56" s="29" t="str">
        <f t="shared" si="8"/>
        <v/>
      </c>
      <c r="B56" s="30"/>
      <c r="C56" s="31"/>
      <c r="D56" s="32"/>
      <c r="E56" s="33"/>
      <c r="F56" s="33"/>
      <c r="G56" s="9"/>
      <c r="H56" s="10" t="str">
        <f>IF($B56="","",IF($F56="Full Plot",'⚙️ Config'!$B$6,IF($F56="Half Plot",'⚙️ Config'!$B$7,"")))</f>
        <v/>
      </c>
      <c r="I56" s="10" t="str">
        <f>IF($B56="","",IF($F56="Full Plot",$G56*'⚙️ Config'!$B$6,IF($F56="Half Plot",($G56/'⚙️ Config'!$E$7)*'⚙️ Config'!$B$7,0)))</f>
        <v/>
      </c>
      <c r="J56" s="11" t="str">
        <f>IF($B56="","",IF($F56="Full Plot",$G56*'⚙️ Config'!$C$6,IF($F56="Half Plot",($G56/'⚙️ Config'!$E$7)*'⚙️ Config'!$C$7,0)))</f>
        <v/>
      </c>
      <c r="K56" s="12" t="str">
        <f t="shared" si="9"/>
        <v/>
      </c>
      <c r="L56" s="25"/>
      <c r="M56" s="34" t="str">
        <f>IF($B56="","",IF($L56="","",IF($F56="Full Plot",$G56,IF($F56="Half Plot",$G56/'⚙️ Config'!$E$7,0))*IFERROR(VLOOKUP($L56,'⚙️ Config'!$A$11:$B$14,2,0),0)))</f>
        <v/>
      </c>
      <c r="N56" s="35" t="str">
        <f t="shared" si="10"/>
        <v/>
      </c>
      <c r="O56" s="33"/>
      <c r="P56" s="33"/>
      <c r="Q56" s="22"/>
      <c r="R56" s="36" t="str">
        <f t="shared" si="11"/>
        <v/>
      </c>
      <c r="S56" s="37"/>
      <c r="T56" s="38"/>
    </row>
    <row r="57" spans="1:20" ht="21" customHeight="1" x14ac:dyDescent="0.35">
      <c r="A57" s="29" t="str">
        <f t="shared" si="8"/>
        <v/>
      </c>
      <c r="B57" s="30"/>
      <c r="C57" s="31"/>
      <c r="D57" s="32"/>
      <c r="E57" s="33"/>
      <c r="F57" s="33"/>
      <c r="G57" s="9"/>
      <c r="H57" s="10" t="str">
        <f>IF($B57="","",IF($F57="Full Plot",'⚙️ Config'!$B$6,IF($F57="Half Plot",'⚙️ Config'!$B$7,"")))</f>
        <v/>
      </c>
      <c r="I57" s="10" t="str">
        <f>IF($B57="","",IF($F57="Full Plot",$G57*'⚙️ Config'!$B$6,IF($F57="Half Plot",($G57/'⚙️ Config'!$E$7)*'⚙️ Config'!$B$7,0)))</f>
        <v/>
      </c>
      <c r="J57" s="11" t="str">
        <f>IF($B57="","",IF($F57="Full Plot",$G57*'⚙️ Config'!$C$6,IF($F57="Half Plot",($G57/'⚙️ Config'!$E$7)*'⚙️ Config'!$C$7,0)))</f>
        <v/>
      </c>
      <c r="K57" s="12" t="str">
        <f t="shared" si="9"/>
        <v/>
      </c>
      <c r="L57" s="25"/>
      <c r="M57" s="34" t="str">
        <f>IF($B57="","",IF($L57="","",IF($F57="Full Plot",$G57,IF($F57="Half Plot",$G57/'⚙️ Config'!$E$7,0))*IFERROR(VLOOKUP($L57,'⚙️ Config'!$A$11:$B$14,2,0),0)))</f>
        <v/>
      </c>
      <c r="N57" s="35" t="str">
        <f t="shared" si="10"/>
        <v/>
      </c>
      <c r="O57" s="33"/>
      <c r="P57" s="33"/>
      <c r="Q57" s="22"/>
      <c r="R57" s="36" t="str">
        <f t="shared" si="11"/>
        <v/>
      </c>
      <c r="S57" s="37"/>
      <c r="T57" s="38"/>
    </row>
    <row r="58" spans="1:20" ht="21" customHeight="1" x14ac:dyDescent="0.35">
      <c r="A58" s="29" t="str">
        <f t="shared" si="8"/>
        <v/>
      </c>
      <c r="B58" s="30"/>
      <c r="C58" s="31"/>
      <c r="D58" s="32"/>
      <c r="E58" s="33"/>
      <c r="F58" s="33"/>
      <c r="G58" s="9"/>
      <c r="H58" s="10" t="str">
        <f>IF($B58="","",IF($F58="Full Plot",'⚙️ Config'!$B$6,IF($F58="Half Plot",'⚙️ Config'!$B$7,"")))</f>
        <v/>
      </c>
      <c r="I58" s="10" t="str">
        <f>IF($B58="","",IF($F58="Full Plot",$G58*'⚙️ Config'!$B$6,IF($F58="Half Plot",($G58/'⚙️ Config'!$E$7)*'⚙️ Config'!$B$7,0)))</f>
        <v/>
      </c>
      <c r="J58" s="11" t="str">
        <f>IF($B58="","",IF($F58="Full Plot",$G58*'⚙️ Config'!$C$6,IF($F58="Half Plot",($G58/'⚙️ Config'!$E$7)*'⚙️ Config'!$C$7,0)))</f>
        <v/>
      </c>
      <c r="K58" s="12" t="str">
        <f t="shared" si="9"/>
        <v/>
      </c>
      <c r="L58" s="25"/>
      <c r="M58" s="34" t="str">
        <f>IF($B58="","",IF($L58="","",IF($F58="Full Plot",$G58,IF($F58="Half Plot",$G58/'⚙️ Config'!$E$7,0))*IFERROR(VLOOKUP($L58,'⚙️ Config'!$A$11:$B$14,2,0),0)))</f>
        <v/>
      </c>
      <c r="N58" s="35" t="str">
        <f t="shared" si="10"/>
        <v/>
      </c>
      <c r="O58" s="33"/>
      <c r="P58" s="33"/>
      <c r="Q58" s="22"/>
      <c r="R58" s="36" t="str">
        <f t="shared" si="11"/>
        <v/>
      </c>
      <c r="S58" s="37"/>
      <c r="T58" s="38"/>
    </row>
    <row r="59" spans="1:20" ht="21" customHeight="1" x14ac:dyDescent="0.35">
      <c r="A59" s="29" t="str">
        <f t="shared" si="8"/>
        <v/>
      </c>
      <c r="B59" s="30"/>
      <c r="C59" s="31"/>
      <c r="D59" s="32"/>
      <c r="E59" s="33"/>
      <c r="F59" s="33"/>
      <c r="G59" s="9"/>
      <c r="H59" s="10" t="str">
        <f>IF($B59="","",IF($F59="Full Plot",'⚙️ Config'!$B$6,IF($F59="Half Plot",'⚙️ Config'!$B$7,"")))</f>
        <v/>
      </c>
      <c r="I59" s="10" t="str">
        <f>IF($B59="","",IF($F59="Full Plot",$G59*'⚙️ Config'!$B$6,IF($F59="Half Plot",($G59/'⚙️ Config'!$E$7)*'⚙️ Config'!$B$7,0)))</f>
        <v/>
      </c>
      <c r="J59" s="11" t="str">
        <f>IF($B59="","",IF($F59="Full Plot",$G59*'⚙️ Config'!$C$6,IF($F59="Half Plot",($G59/'⚙️ Config'!$E$7)*'⚙️ Config'!$C$7,0)))</f>
        <v/>
      </c>
      <c r="K59" s="12" t="str">
        <f t="shared" si="9"/>
        <v/>
      </c>
      <c r="L59" s="25"/>
      <c r="M59" s="34" t="str">
        <f>IF($B59="","",IF($L59="","",IF($F59="Full Plot",$G59,IF($F59="Half Plot",$G59/'⚙️ Config'!$E$7,0))*IFERROR(VLOOKUP($L59,'⚙️ Config'!$A$11:$B$14,2,0),0)))</f>
        <v/>
      </c>
      <c r="N59" s="35" t="str">
        <f t="shared" si="10"/>
        <v/>
      </c>
      <c r="O59" s="33"/>
      <c r="P59" s="33"/>
      <c r="Q59" s="22"/>
      <c r="R59" s="36" t="str">
        <f t="shared" si="11"/>
        <v/>
      </c>
      <c r="S59" s="37"/>
      <c r="T59" s="38"/>
    </row>
    <row r="60" spans="1:20" ht="21" customHeight="1" x14ac:dyDescent="0.35">
      <c r="A60" s="29" t="str">
        <f t="shared" si="8"/>
        <v/>
      </c>
      <c r="B60" s="30"/>
      <c r="C60" s="31"/>
      <c r="D60" s="32"/>
      <c r="E60" s="33"/>
      <c r="F60" s="33"/>
      <c r="G60" s="9"/>
      <c r="H60" s="10" t="str">
        <f>IF($B60="","",IF($F60="Full Plot",'⚙️ Config'!$B$6,IF($F60="Half Plot",'⚙️ Config'!$B$7,"")))</f>
        <v/>
      </c>
      <c r="I60" s="10" t="str">
        <f>IF($B60="","",IF($F60="Full Plot",$G60*'⚙️ Config'!$B$6,IF($F60="Half Plot",($G60/'⚙️ Config'!$E$7)*'⚙️ Config'!$B$7,0)))</f>
        <v/>
      </c>
      <c r="J60" s="11" t="str">
        <f>IF($B60="","",IF($F60="Full Plot",$G60*'⚙️ Config'!$C$6,IF($F60="Half Plot",($G60/'⚙️ Config'!$E$7)*'⚙️ Config'!$C$7,0)))</f>
        <v/>
      </c>
      <c r="K60" s="12" t="str">
        <f t="shared" si="9"/>
        <v/>
      </c>
      <c r="L60" s="25"/>
      <c r="M60" s="34" t="str">
        <f>IF($B60="","",IF($L60="","",IF($F60="Full Plot",$G60,IF($F60="Half Plot",$G60/'⚙️ Config'!$E$7,0))*IFERROR(VLOOKUP($L60,'⚙️ Config'!$A$11:$B$14,2,0),0)))</f>
        <v/>
      </c>
      <c r="N60" s="35" t="str">
        <f t="shared" si="10"/>
        <v/>
      </c>
      <c r="O60" s="33"/>
      <c r="P60" s="33"/>
      <c r="Q60" s="22"/>
      <c r="R60" s="36" t="str">
        <f t="shared" si="11"/>
        <v/>
      </c>
      <c r="S60" s="37"/>
      <c r="T60" s="38"/>
    </row>
    <row r="61" spans="1:20" ht="21" customHeight="1" x14ac:dyDescent="0.35">
      <c r="A61" s="29" t="str">
        <f t="shared" si="8"/>
        <v/>
      </c>
      <c r="B61" s="30"/>
      <c r="C61" s="31"/>
      <c r="D61" s="32"/>
      <c r="E61" s="33"/>
      <c r="F61" s="33"/>
      <c r="G61" s="9"/>
      <c r="H61" s="10" t="str">
        <f>IF($B61="","",IF($F61="Full Plot",'⚙️ Config'!$B$6,IF($F61="Half Plot",'⚙️ Config'!$B$7,"")))</f>
        <v/>
      </c>
      <c r="I61" s="10" t="str">
        <f>IF($B61="","",IF($F61="Full Plot",$G61*'⚙️ Config'!$B$6,IF($F61="Half Plot",($G61/'⚙️ Config'!$E$7)*'⚙️ Config'!$B$7,0)))</f>
        <v/>
      </c>
      <c r="J61" s="11" t="str">
        <f>IF($B61="","",IF($F61="Full Plot",$G61*'⚙️ Config'!$C$6,IF($F61="Half Plot",($G61/'⚙️ Config'!$E$7)*'⚙️ Config'!$C$7,0)))</f>
        <v/>
      </c>
      <c r="K61" s="12" t="str">
        <f t="shared" si="9"/>
        <v/>
      </c>
      <c r="L61" s="25"/>
      <c r="M61" s="34" t="str">
        <f>IF($B61="","",IF($L61="","",IF($F61="Full Plot",$G61,IF($F61="Half Plot",$G61/'⚙️ Config'!$E$7,0))*IFERROR(VLOOKUP($L61,'⚙️ Config'!$A$11:$B$14,2,0),0)))</f>
        <v/>
      </c>
      <c r="N61" s="35" t="str">
        <f t="shared" si="10"/>
        <v/>
      </c>
      <c r="O61" s="33"/>
      <c r="P61" s="33"/>
      <c r="Q61" s="22"/>
      <c r="R61" s="36" t="str">
        <f t="shared" si="11"/>
        <v/>
      </c>
      <c r="S61" s="37"/>
      <c r="T61" s="38"/>
    </row>
    <row r="62" spans="1:20" ht="21" customHeight="1" x14ac:dyDescent="0.35">
      <c r="A62" s="29" t="str">
        <f t="shared" si="8"/>
        <v/>
      </c>
      <c r="B62" s="30"/>
      <c r="C62" s="31"/>
      <c r="D62" s="32"/>
      <c r="E62" s="33"/>
      <c r="F62" s="33"/>
      <c r="G62" s="9"/>
      <c r="H62" s="10" t="str">
        <f>IF($B62="","",IF($F62="Full Plot",'⚙️ Config'!$B$6,IF($F62="Half Plot",'⚙️ Config'!$B$7,"")))</f>
        <v/>
      </c>
      <c r="I62" s="10" t="str">
        <f>IF($B62="","",IF($F62="Full Plot",$G62*'⚙️ Config'!$B$6,IF($F62="Half Plot",($G62/'⚙️ Config'!$E$7)*'⚙️ Config'!$B$7,0)))</f>
        <v/>
      </c>
      <c r="J62" s="11" t="str">
        <f>IF($B62="","",IF($F62="Full Plot",$G62*'⚙️ Config'!$C$6,IF($F62="Half Plot",($G62/'⚙️ Config'!$E$7)*'⚙️ Config'!$C$7,0)))</f>
        <v/>
      </c>
      <c r="K62" s="12" t="str">
        <f t="shared" si="9"/>
        <v/>
      </c>
      <c r="L62" s="25"/>
      <c r="M62" s="34" t="str">
        <f>IF($B62="","",IF($L62="","",IF($F62="Full Plot",$G62,IF($F62="Half Plot",$G62/'⚙️ Config'!$E$7,0))*IFERROR(VLOOKUP($L62,'⚙️ Config'!$A$11:$B$14,2,0),0)))</f>
        <v/>
      </c>
      <c r="N62" s="35" t="str">
        <f t="shared" si="10"/>
        <v/>
      </c>
      <c r="O62" s="33"/>
      <c r="P62" s="33"/>
      <c r="Q62" s="22"/>
      <c r="R62" s="36" t="str">
        <f t="shared" si="11"/>
        <v/>
      </c>
      <c r="S62" s="37"/>
      <c r="T62" s="38"/>
    </row>
    <row r="63" spans="1:20" ht="21" customHeight="1" x14ac:dyDescent="0.35">
      <c r="A63" s="29" t="str">
        <f t="shared" si="8"/>
        <v/>
      </c>
      <c r="B63" s="30"/>
      <c r="C63" s="31"/>
      <c r="D63" s="32"/>
      <c r="E63" s="33"/>
      <c r="F63" s="33"/>
      <c r="G63" s="9"/>
      <c r="H63" s="10" t="str">
        <f>IF($B63="","",IF($F63="Full Plot",'⚙️ Config'!$B$6,IF($F63="Half Plot",'⚙️ Config'!$B$7,"")))</f>
        <v/>
      </c>
      <c r="I63" s="10" t="str">
        <f>IF($B63="","",IF($F63="Full Plot",$G63*'⚙️ Config'!$B$6,IF($F63="Half Plot",($G63/'⚙️ Config'!$E$7)*'⚙️ Config'!$B$7,0)))</f>
        <v/>
      </c>
      <c r="J63" s="11" t="str">
        <f>IF($B63="","",IF($F63="Full Plot",$G63*'⚙️ Config'!$C$6,IF($F63="Half Plot",($G63/'⚙️ Config'!$E$7)*'⚙️ Config'!$C$7,0)))</f>
        <v/>
      </c>
      <c r="K63" s="12" t="str">
        <f t="shared" si="9"/>
        <v/>
      </c>
      <c r="L63" s="25"/>
      <c r="M63" s="34" t="str">
        <f>IF($B63="","",IF($L63="","",IF($F63="Full Plot",$G63,IF($F63="Half Plot",$G63/'⚙️ Config'!$E$7,0))*IFERROR(VLOOKUP($L63,'⚙️ Config'!$A$11:$B$14,2,0),0)))</f>
        <v/>
      </c>
      <c r="N63" s="35" t="str">
        <f t="shared" si="10"/>
        <v/>
      </c>
      <c r="O63" s="33"/>
      <c r="P63" s="33"/>
      <c r="Q63" s="22"/>
      <c r="R63" s="36" t="str">
        <f t="shared" si="11"/>
        <v/>
      </c>
      <c r="S63" s="37"/>
      <c r="T63" s="38"/>
    </row>
    <row r="64" spans="1:20" ht="21" customHeight="1" x14ac:dyDescent="0.35">
      <c r="A64" s="29" t="str">
        <f t="shared" si="8"/>
        <v/>
      </c>
      <c r="B64" s="30"/>
      <c r="C64" s="31"/>
      <c r="D64" s="32"/>
      <c r="E64" s="33"/>
      <c r="F64" s="33"/>
      <c r="G64" s="9"/>
      <c r="H64" s="10" t="str">
        <f>IF($B64="","",IF($F64="Full Plot",'⚙️ Config'!$B$6,IF($F64="Half Plot",'⚙️ Config'!$B$7,"")))</f>
        <v/>
      </c>
      <c r="I64" s="10" t="str">
        <f>IF($B64="","",IF($F64="Full Plot",$G64*'⚙️ Config'!$B$6,IF($F64="Half Plot",($G64/'⚙️ Config'!$E$7)*'⚙️ Config'!$B$7,0)))</f>
        <v/>
      </c>
      <c r="J64" s="11" t="str">
        <f>IF($B64="","",IF($F64="Full Plot",$G64*'⚙️ Config'!$C$6,IF($F64="Half Plot",($G64/'⚙️ Config'!$E$7)*'⚙️ Config'!$C$7,0)))</f>
        <v/>
      </c>
      <c r="K64" s="12" t="str">
        <f t="shared" si="9"/>
        <v/>
      </c>
      <c r="L64" s="25"/>
      <c r="M64" s="34" t="str">
        <f>IF($B64="","",IF($L64="","",IF($F64="Full Plot",$G64,IF($F64="Half Plot",$G64/'⚙️ Config'!$E$7,0))*IFERROR(VLOOKUP($L64,'⚙️ Config'!$A$11:$B$14,2,0),0)))</f>
        <v/>
      </c>
      <c r="N64" s="35" t="str">
        <f t="shared" si="10"/>
        <v/>
      </c>
      <c r="O64" s="33"/>
      <c r="P64" s="33"/>
      <c r="Q64" s="22"/>
      <c r="R64" s="36" t="str">
        <f t="shared" si="11"/>
        <v/>
      </c>
      <c r="S64" s="37"/>
      <c r="T64" s="38"/>
    </row>
    <row r="65" spans="1:20" ht="21" customHeight="1" x14ac:dyDescent="0.35">
      <c r="A65" s="29" t="str">
        <f t="shared" si="8"/>
        <v/>
      </c>
      <c r="B65" s="30"/>
      <c r="C65" s="31"/>
      <c r="D65" s="32"/>
      <c r="E65" s="33"/>
      <c r="F65" s="33"/>
      <c r="G65" s="9"/>
      <c r="H65" s="10" t="str">
        <f>IF($B65="","",IF($F65="Full Plot",'⚙️ Config'!$B$6,IF($F65="Half Plot",'⚙️ Config'!$B$7,"")))</f>
        <v/>
      </c>
      <c r="I65" s="10" t="str">
        <f>IF($B65="","",IF($F65="Full Plot",$G65*'⚙️ Config'!$B$6,IF($F65="Half Plot",($G65/'⚙️ Config'!$E$7)*'⚙️ Config'!$B$7,0)))</f>
        <v/>
      </c>
      <c r="J65" s="11" t="str">
        <f>IF($B65="","",IF($F65="Full Plot",$G65*'⚙️ Config'!$C$6,IF($F65="Half Plot",($G65/'⚙️ Config'!$E$7)*'⚙️ Config'!$C$7,0)))</f>
        <v/>
      </c>
      <c r="K65" s="12" t="str">
        <f t="shared" si="9"/>
        <v/>
      </c>
      <c r="L65" s="25"/>
      <c r="M65" s="34" t="str">
        <f>IF($B65="","",IF($L65="","",IF($F65="Full Plot",$G65,IF($F65="Half Plot",$G65/'⚙️ Config'!$E$7,0))*IFERROR(VLOOKUP($L65,'⚙️ Config'!$A$11:$B$14,2,0),0)))</f>
        <v/>
      </c>
      <c r="N65" s="35" t="str">
        <f t="shared" si="10"/>
        <v/>
      </c>
      <c r="O65" s="33"/>
      <c r="P65" s="33"/>
      <c r="Q65" s="22"/>
      <c r="R65" s="36" t="str">
        <f t="shared" si="11"/>
        <v/>
      </c>
      <c r="S65" s="37"/>
      <c r="T65" s="38"/>
    </row>
    <row r="66" spans="1:20" ht="21" customHeight="1" x14ac:dyDescent="0.35">
      <c r="A66" s="29" t="str">
        <f t="shared" si="8"/>
        <v/>
      </c>
      <c r="B66" s="30"/>
      <c r="C66" s="31"/>
      <c r="D66" s="32"/>
      <c r="E66" s="33"/>
      <c r="F66" s="33"/>
      <c r="G66" s="9"/>
      <c r="H66" s="10" t="str">
        <f>IF($B66="","",IF($F66="Full Plot",'⚙️ Config'!$B$6,IF($F66="Half Plot",'⚙️ Config'!$B$7,"")))</f>
        <v/>
      </c>
      <c r="I66" s="10" t="str">
        <f>IF($B66="","",IF($F66="Full Plot",$G66*'⚙️ Config'!$B$6,IF($F66="Half Plot",($G66/'⚙️ Config'!$E$7)*'⚙️ Config'!$B$7,0)))</f>
        <v/>
      </c>
      <c r="J66" s="11" t="str">
        <f>IF($B66="","",IF($F66="Full Plot",$G66*'⚙️ Config'!$C$6,IF($F66="Half Plot",($G66/'⚙️ Config'!$E$7)*'⚙️ Config'!$C$7,0)))</f>
        <v/>
      </c>
      <c r="K66" s="12" t="str">
        <f t="shared" si="9"/>
        <v/>
      </c>
      <c r="L66" s="25"/>
      <c r="M66" s="34" t="str">
        <f>IF($B66="","",IF($L66="","",IF($F66="Full Plot",$G66,IF($F66="Half Plot",$G66/'⚙️ Config'!$E$7,0))*IFERROR(VLOOKUP($L66,'⚙️ Config'!$A$11:$B$14,2,0),0)))</f>
        <v/>
      </c>
      <c r="N66" s="35" t="str">
        <f t="shared" si="10"/>
        <v/>
      </c>
      <c r="O66" s="33"/>
      <c r="P66" s="33"/>
      <c r="Q66" s="22"/>
      <c r="R66" s="36" t="str">
        <f t="shared" si="11"/>
        <v/>
      </c>
      <c r="S66" s="37"/>
      <c r="T66" s="38"/>
    </row>
    <row r="67" spans="1:20" ht="21" customHeight="1" x14ac:dyDescent="0.35">
      <c r="A67" s="29" t="str">
        <f t="shared" si="8"/>
        <v/>
      </c>
      <c r="B67" s="30"/>
      <c r="C67" s="31"/>
      <c r="D67" s="32"/>
      <c r="E67" s="33"/>
      <c r="F67" s="33"/>
      <c r="G67" s="9"/>
      <c r="H67" s="10" t="str">
        <f>IF($B67="","",IF($F67="Full Plot",'⚙️ Config'!$B$6,IF($F67="Half Plot",'⚙️ Config'!$B$7,"")))</f>
        <v/>
      </c>
      <c r="I67" s="10" t="str">
        <f>IF($B67="","",IF($F67="Full Plot",$G67*'⚙️ Config'!$B$6,IF($F67="Half Plot",($G67/'⚙️ Config'!$E$7)*'⚙️ Config'!$B$7,0)))</f>
        <v/>
      </c>
      <c r="J67" s="11" t="str">
        <f>IF($B67="","",IF($F67="Full Plot",$G67*'⚙️ Config'!$C$6,IF($F67="Half Plot",($G67/'⚙️ Config'!$E$7)*'⚙️ Config'!$C$7,0)))</f>
        <v/>
      </c>
      <c r="K67" s="12" t="str">
        <f t="shared" si="9"/>
        <v/>
      </c>
      <c r="L67" s="25"/>
      <c r="M67" s="34" t="str">
        <f>IF($B67="","",IF($L67="","",IF($F67="Full Plot",$G67,IF($F67="Half Plot",$G67/'⚙️ Config'!$E$7,0))*IFERROR(VLOOKUP($L67,'⚙️ Config'!$A$11:$B$14,2,0),0)))</f>
        <v/>
      </c>
      <c r="N67" s="35" t="str">
        <f t="shared" si="10"/>
        <v/>
      </c>
      <c r="O67" s="33"/>
      <c r="P67" s="33"/>
      <c r="Q67" s="22"/>
      <c r="R67" s="36" t="str">
        <f t="shared" si="11"/>
        <v/>
      </c>
      <c r="S67" s="37"/>
      <c r="T67" s="38"/>
    </row>
    <row r="68" spans="1:20" ht="21" customHeight="1" x14ac:dyDescent="0.35">
      <c r="A68" s="29" t="str">
        <f t="shared" si="8"/>
        <v/>
      </c>
      <c r="B68" s="30"/>
      <c r="C68" s="31"/>
      <c r="D68" s="32"/>
      <c r="E68" s="33"/>
      <c r="F68" s="33"/>
      <c r="G68" s="9"/>
      <c r="H68" s="10" t="str">
        <f>IF($B68="","",IF($F68="Full Plot",'⚙️ Config'!$B$6,IF($F68="Half Plot",'⚙️ Config'!$B$7,"")))</f>
        <v/>
      </c>
      <c r="I68" s="10" t="str">
        <f>IF($B68="","",IF($F68="Full Plot",$G68*'⚙️ Config'!$B$6,IF($F68="Half Plot",($G68/'⚙️ Config'!$E$7)*'⚙️ Config'!$B$7,0)))</f>
        <v/>
      </c>
      <c r="J68" s="11" t="str">
        <f>IF($B68="","",IF($F68="Full Plot",$G68*'⚙️ Config'!$C$6,IF($F68="Half Plot",($G68/'⚙️ Config'!$E$7)*'⚙️ Config'!$C$7,0)))</f>
        <v/>
      </c>
      <c r="K68" s="12" t="str">
        <f t="shared" si="9"/>
        <v/>
      </c>
      <c r="L68" s="25"/>
      <c r="M68" s="34" t="str">
        <f>IF($B68="","",IF($L68="","",IF($F68="Full Plot",$G68,IF($F68="Half Plot",$G68/'⚙️ Config'!$E$7,0))*IFERROR(VLOOKUP($L68,'⚙️ Config'!$A$11:$B$14,2,0),0)))</f>
        <v/>
      </c>
      <c r="N68" s="35" t="str">
        <f t="shared" si="10"/>
        <v/>
      </c>
      <c r="O68" s="33"/>
      <c r="P68" s="33"/>
      <c r="Q68" s="22"/>
      <c r="R68" s="36" t="str">
        <f t="shared" si="11"/>
        <v/>
      </c>
      <c r="S68" s="37"/>
      <c r="T68" s="38"/>
    </row>
    <row r="69" spans="1:20" ht="21" customHeight="1" x14ac:dyDescent="0.35">
      <c r="A69" s="29" t="str">
        <f t="shared" si="8"/>
        <v/>
      </c>
      <c r="B69" s="30"/>
      <c r="C69" s="31"/>
      <c r="D69" s="32"/>
      <c r="E69" s="33"/>
      <c r="F69" s="33"/>
      <c r="G69" s="9"/>
      <c r="H69" s="10" t="str">
        <f>IF($B69="","",IF($F69="Full Plot",'⚙️ Config'!$B$6,IF($F69="Half Plot",'⚙️ Config'!$B$7,"")))</f>
        <v/>
      </c>
      <c r="I69" s="10" t="str">
        <f>IF($B69="","",IF($F69="Full Plot",$G69*'⚙️ Config'!$B$6,IF($F69="Half Plot",($G69/'⚙️ Config'!$E$7)*'⚙️ Config'!$B$7,0)))</f>
        <v/>
      </c>
      <c r="J69" s="11" t="str">
        <f>IF($B69="","",IF($F69="Full Plot",$G69*'⚙️ Config'!$C$6,IF($F69="Half Plot",($G69/'⚙️ Config'!$E$7)*'⚙️ Config'!$C$7,0)))</f>
        <v/>
      </c>
      <c r="K69" s="12" t="str">
        <f t="shared" si="9"/>
        <v/>
      </c>
      <c r="L69" s="25"/>
      <c r="M69" s="34" t="str">
        <f>IF($B69="","",IF($L69="","",IF($F69="Full Plot",$G69,IF($F69="Half Plot",$G69/'⚙️ Config'!$E$7,0))*IFERROR(VLOOKUP($L69,'⚙️ Config'!$A$11:$B$14,2,0),0)))</f>
        <v/>
      </c>
      <c r="N69" s="35" t="str">
        <f t="shared" si="10"/>
        <v/>
      </c>
      <c r="O69" s="33"/>
      <c r="P69" s="33"/>
      <c r="Q69" s="22"/>
      <c r="R69" s="36" t="str">
        <f t="shared" si="11"/>
        <v/>
      </c>
      <c r="S69" s="37"/>
      <c r="T69" s="38"/>
    </row>
    <row r="70" spans="1:20" ht="21" customHeight="1" x14ac:dyDescent="0.35">
      <c r="A70" s="29" t="str">
        <f t="shared" si="8"/>
        <v/>
      </c>
      <c r="B70" s="30"/>
      <c r="C70" s="31"/>
      <c r="D70" s="32"/>
      <c r="E70" s="33"/>
      <c r="F70" s="33"/>
      <c r="G70" s="9"/>
      <c r="H70" s="10" t="str">
        <f>IF($B70="","",IF($F70="Full Plot",'⚙️ Config'!$B$6,IF($F70="Half Plot",'⚙️ Config'!$B$7,"")))</f>
        <v/>
      </c>
      <c r="I70" s="10" t="str">
        <f>IF($B70="","",IF($F70="Full Plot",$G70*'⚙️ Config'!$B$6,IF($F70="Half Plot",($G70/'⚙️ Config'!$E$7)*'⚙️ Config'!$B$7,0)))</f>
        <v/>
      </c>
      <c r="J70" s="11" t="str">
        <f>IF($B70="","",IF($F70="Full Plot",$G70*'⚙️ Config'!$C$6,IF($F70="Half Plot",($G70/'⚙️ Config'!$E$7)*'⚙️ Config'!$C$7,0)))</f>
        <v/>
      </c>
      <c r="K70" s="12" t="str">
        <f t="shared" si="9"/>
        <v/>
      </c>
      <c r="L70" s="25"/>
      <c r="M70" s="34" t="str">
        <f>IF($B70="","",IF($L70="","",IF($F70="Full Plot",$G70,IF($F70="Half Plot",$G70/'⚙️ Config'!$E$7,0))*IFERROR(VLOOKUP($L70,'⚙️ Config'!$A$11:$B$14,2,0),0)))</f>
        <v/>
      </c>
      <c r="N70" s="35" t="str">
        <f t="shared" si="10"/>
        <v/>
      </c>
      <c r="O70" s="33"/>
      <c r="P70" s="33"/>
      <c r="Q70" s="22"/>
      <c r="R70" s="36" t="str">
        <f t="shared" si="11"/>
        <v/>
      </c>
      <c r="S70" s="37"/>
      <c r="T70" s="38"/>
    </row>
    <row r="71" spans="1:20" ht="21" customHeight="1" x14ac:dyDescent="0.35">
      <c r="A71" s="29" t="str">
        <f t="shared" si="8"/>
        <v/>
      </c>
      <c r="B71" s="30"/>
      <c r="C71" s="31"/>
      <c r="D71" s="32"/>
      <c r="E71" s="33"/>
      <c r="F71" s="33"/>
      <c r="G71" s="9"/>
      <c r="H71" s="10" t="str">
        <f>IF($B71="","",IF($F71="Full Plot",'⚙️ Config'!$B$6,IF($F71="Half Plot",'⚙️ Config'!$B$7,"")))</f>
        <v/>
      </c>
      <c r="I71" s="10" t="str">
        <f>IF($B71="","",IF($F71="Full Plot",$G71*'⚙️ Config'!$B$6,IF($F71="Half Plot",($G71/'⚙️ Config'!$E$7)*'⚙️ Config'!$B$7,0)))</f>
        <v/>
      </c>
      <c r="J71" s="11" t="str">
        <f>IF($B71="","",IF($F71="Full Plot",$G71*'⚙️ Config'!$C$6,IF($F71="Half Plot",($G71/'⚙️ Config'!$E$7)*'⚙️ Config'!$C$7,0)))</f>
        <v/>
      </c>
      <c r="K71" s="12" t="str">
        <f t="shared" si="9"/>
        <v/>
      </c>
      <c r="L71" s="25"/>
      <c r="M71" s="34" t="str">
        <f>IF($B71="","",IF($L71="","",IF($F71="Full Plot",$G71,IF($F71="Half Plot",$G71/'⚙️ Config'!$E$7,0))*IFERROR(VLOOKUP($L71,'⚙️ Config'!$A$11:$B$14,2,0),0)))</f>
        <v/>
      </c>
      <c r="N71" s="35" t="str">
        <f t="shared" si="10"/>
        <v/>
      </c>
      <c r="O71" s="33"/>
      <c r="P71" s="33"/>
      <c r="Q71" s="22"/>
      <c r="R71" s="36" t="str">
        <f t="shared" si="11"/>
        <v/>
      </c>
      <c r="S71" s="37"/>
      <c r="T71" s="38"/>
    </row>
    <row r="72" spans="1:20" ht="21" customHeight="1" x14ac:dyDescent="0.35">
      <c r="A72" s="29" t="str">
        <f t="shared" si="8"/>
        <v/>
      </c>
      <c r="B72" s="30"/>
      <c r="C72" s="31"/>
      <c r="D72" s="32"/>
      <c r="E72" s="33"/>
      <c r="F72" s="33"/>
      <c r="G72" s="9"/>
      <c r="H72" s="10" t="str">
        <f>IF($B72="","",IF($F72="Full Plot",'⚙️ Config'!$B$6,IF($F72="Half Plot",'⚙️ Config'!$B$7,"")))</f>
        <v/>
      </c>
      <c r="I72" s="10" t="str">
        <f>IF($B72="","",IF($F72="Full Plot",$G72*'⚙️ Config'!$B$6,IF($F72="Half Plot",($G72/'⚙️ Config'!$E$7)*'⚙️ Config'!$B$7,0)))</f>
        <v/>
      </c>
      <c r="J72" s="11" t="str">
        <f>IF($B72="","",IF($F72="Full Plot",$G72*'⚙️ Config'!$C$6,IF($F72="Half Plot",($G72/'⚙️ Config'!$E$7)*'⚙️ Config'!$C$7,0)))</f>
        <v/>
      </c>
      <c r="K72" s="12" t="str">
        <f t="shared" si="9"/>
        <v/>
      </c>
      <c r="L72" s="25"/>
      <c r="M72" s="34" t="str">
        <f>IF($B72="","",IF($L72="","",IF($F72="Full Plot",$G72,IF($F72="Half Plot",$G72/'⚙️ Config'!$E$7,0))*IFERROR(VLOOKUP($L72,'⚙️ Config'!$A$11:$B$14,2,0),0)))</f>
        <v/>
      </c>
      <c r="N72" s="35" t="str">
        <f t="shared" si="10"/>
        <v/>
      </c>
      <c r="O72" s="33"/>
      <c r="P72" s="33"/>
      <c r="Q72" s="22"/>
      <c r="R72" s="36" t="str">
        <f t="shared" si="11"/>
        <v/>
      </c>
      <c r="S72" s="37"/>
      <c r="T72" s="38"/>
    </row>
    <row r="73" spans="1:20" ht="21" customHeight="1" x14ac:dyDescent="0.35">
      <c r="A73" s="29" t="str">
        <f t="shared" si="8"/>
        <v/>
      </c>
      <c r="B73" s="30"/>
      <c r="C73" s="31"/>
      <c r="D73" s="32"/>
      <c r="E73" s="33"/>
      <c r="F73" s="33"/>
      <c r="G73" s="9"/>
      <c r="H73" s="10" t="str">
        <f>IF($B73="","",IF($F73="Full Plot",'⚙️ Config'!$B$6,IF($F73="Half Plot",'⚙️ Config'!$B$7,"")))</f>
        <v/>
      </c>
      <c r="I73" s="10" t="str">
        <f>IF($B73="","",IF($F73="Full Plot",$G73*'⚙️ Config'!$B$6,IF($F73="Half Plot",($G73/'⚙️ Config'!$E$7)*'⚙️ Config'!$B$7,0)))</f>
        <v/>
      </c>
      <c r="J73" s="11" t="str">
        <f>IF($B73="","",IF($F73="Full Plot",$G73*'⚙️ Config'!$C$6,IF($F73="Half Plot",($G73/'⚙️ Config'!$E$7)*'⚙️ Config'!$C$7,0)))</f>
        <v/>
      </c>
      <c r="K73" s="12" t="str">
        <f t="shared" si="9"/>
        <v/>
      </c>
      <c r="L73" s="25"/>
      <c r="M73" s="34" t="str">
        <f>IF($B73="","",IF($L73="","",IF($F73="Full Plot",$G73,IF($F73="Half Plot",$G73/'⚙️ Config'!$E$7,0))*IFERROR(VLOOKUP($L73,'⚙️ Config'!$A$11:$B$14,2,0),0)))</f>
        <v/>
      </c>
      <c r="N73" s="35" t="str">
        <f t="shared" si="10"/>
        <v/>
      </c>
      <c r="O73" s="33"/>
      <c r="P73" s="33"/>
      <c r="Q73" s="22"/>
      <c r="R73" s="36" t="str">
        <f t="shared" si="11"/>
        <v/>
      </c>
      <c r="S73" s="37"/>
      <c r="T73" s="38"/>
    </row>
    <row r="74" spans="1:20" ht="21" customHeight="1" x14ac:dyDescent="0.35">
      <c r="A74" s="29" t="str">
        <f t="shared" si="8"/>
        <v/>
      </c>
      <c r="B74" s="30"/>
      <c r="C74" s="31"/>
      <c r="D74" s="32"/>
      <c r="E74" s="33"/>
      <c r="F74" s="33"/>
      <c r="G74" s="9"/>
      <c r="H74" s="10" t="str">
        <f>IF($B74="","",IF($F74="Full Plot",'⚙️ Config'!$B$6,IF($F74="Half Plot",'⚙️ Config'!$B$7,"")))</f>
        <v/>
      </c>
      <c r="I74" s="10" t="str">
        <f>IF($B74="","",IF($F74="Full Plot",$G74*'⚙️ Config'!$B$6,IF($F74="Half Plot",($G74/'⚙️ Config'!$E$7)*'⚙️ Config'!$B$7,0)))</f>
        <v/>
      </c>
      <c r="J74" s="11" t="str">
        <f>IF($B74="","",IF($F74="Full Plot",$G74*'⚙️ Config'!$C$6,IF($F74="Half Plot",($G74/'⚙️ Config'!$E$7)*'⚙️ Config'!$C$7,0)))</f>
        <v/>
      </c>
      <c r="K74" s="12" t="str">
        <f t="shared" si="9"/>
        <v/>
      </c>
      <c r="L74" s="25"/>
      <c r="M74" s="34" t="str">
        <f>IF($B74="","",IF($L74="","",IF($F74="Full Plot",$G74,IF($F74="Half Plot",$G74/'⚙️ Config'!$E$7,0))*IFERROR(VLOOKUP($L74,'⚙️ Config'!$A$11:$B$14,2,0),0)))</f>
        <v/>
      </c>
      <c r="N74" s="35" t="str">
        <f t="shared" si="10"/>
        <v/>
      </c>
      <c r="O74" s="33"/>
      <c r="P74" s="33"/>
      <c r="Q74" s="22"/>
      <c r="R74" s="36" t="str">
        <f t="shared" si="11"/>
        <v/>
      </c>
      <c r="S74" s="37"/>
      <c r="T74" s="38"/>
    </row>
    <row r="75" spans="1:20" ht="21" customHeight="1" x14ac:dyDescent="0.35">
      <c r="A75" s="29" t="str">
        <f t="shared" si="8"/>
        <v/>
      </c>
      <c r="B75" s="30"/>
      <c r="C75" s="31"/>
      <c r="D75" s="32"/>
      <c r="E75" s="33"/>
      <c r="F75" s="33"/>
      <c r="G75" s="9"/>
      <c r="H75" s="10" t="str">
        <f>IF($B75="","",IF($F75="Full Plot",'⚙️ Config'!$B$6,IF($F75="Half Plot",'⚙️ Config'!$B$7,"")))</f>
        <v/>
      </c>
      <c r="I75" s="10" t="str">
        <f>IF($B75="","",IF($F75="Full Plot",$G75*'⚙️ Config'!$B$6,IF($F75="Half Plot",($G75/'⚙️ Config'!$E$7)*'⚙️ Config'!$B$7,0)))</f>
        <v/>
      </c>
      <c r="J75" s="11" t="str">
        <f>IF($B75="","",IF($F75="Full Plot",$G75*'⚙️ Config'!$C$6,IF($F75="Half Plot",($G75/'⚙️ Config'!$E$7)*'⚙️ Config'!$C$7,0)))</f>
        <v/>
      </c>
      <c r="K75" s="12" t="str">
        <f t="shared" si="9"/>
        <v/>
      </c>
      <c r="L75" s="25"/>
      <c r="M75" s="34" t="str">
        <f>IF($B75="","",IF($L75="","",IF($F75="Full Plot",$G75,IF($F75="Half Plot",$G75/'⚙️ Config'!$E$7,0))*IFERROR(VLOOKUP($L75,'⚙️ Config'!$A$11:$B$14,2,0),0)))</f>
        <v/>
      </c>
      <c r="N75" s="35" t="str">
        <f t="shared" si="10"/>
        <v/>
      </c>
      <c r="O75" s="33"/>
      <c r="P75" s="33"/>
      <c r="Q75" s="22"/>
      <c r="R75" s="36" t="str">
        <f t="shared" si="11"/>
        <v/>
      </c>
      <c r="S75" s="37"/>
      <c r="T75" s="38"/>
    </row>
    <row r="76" spans="1:20" ht="21" customHeight="1" x14ac:dyDescent="0.35">
      <c r="A76" s="29" t="str">
        <f t="shared" si="8"/>
        <v/>
      </c>
      <c r="B76" s="30"/>
      <c r="C76" s="31"/>
      <c r="D76" s="32"/>
      <c r="E76" s="33"/>
      <c r="F76" s="33"/>
      <c r="G76" s="9"/>
      <c r="H76" s="10" t="str">
        <f>IF($B76="","",IF($F76="Full Plot",'⚙️ Config'!$B$6,IF($F76="Half Plot",'⚙️ Config'!$B$7,"")))</f>
        <v/>
      </c>
      <c r="I76" s="10" t="str">
        <f>IF($B76="","",IF($F76="Full Plot",$G76*'⚙️ Config'!$B$6,IF($F76="Half Plot",($G76/'⚙️ Config'!$E$7)*'⚙️ Config'!$B$7,0)))</f>
        <v/>
      </c>
      <c r="J76" s="11" t="str">
        <f>IF($B76="","",IF($F76="Full Plot",$G76*'⚙️ Config'!$C$6,IF($F76="Half Plot",($G76/'⚙️ Config'!$E$7)*'⚙️ Config'!$C$7,0)))</f>
        <v/>
      </c>
      <c r="K76" s="12" t="str">
        <f t="shared" si="9"/>
        <v/>
      </c>
      <c r="L76" s="25"/>
      <c r="M76" s="34" t="str">
        <f>IF($B76="","",IF($L76="","",IF($F76="Full Plot",$G76,IF($F76="Half Plot",$G76/'⚙️ Config'!$E$7,0))*IFERROR(VLOOKUP($L76,'⚙️ Config'!$A$11:$B$14,2,0),0)))</f>
        <v/>
      </c>
      <c r="N76" s="35" t="str">
        <f t="shared" si="10"/>
        <v/>
      </c>
      <c r="O76" s="33"/>
      <c r="P76" s="33"/>
      <c r="Q76" s="22"/>
      <c r="R76" s="36" t="str">
        <f t="shared" si="11"/>
        <v/>
      </c>
      <c r="S76" s="37"/>
      <c r="T76" s="38"/>
    </row>
    <row r="77" spans="1:20" ht="21" customHeight="1" x14ac:dyDescent="0.35">
      <c r="A77" s="29" t="str">
        <f t="shared" si="8"/>
        <v/>
      </c>
      <c r="B77" s="30"/>
      <c r="C77" s="31"/>
      <c r="D77" s="32"/>
      <c r="E77" s="33"/>
      <c r="F77" s="33"/>
      <c r="G77" s="9"/>
      <c r="H77" s="10" t="str">
        <f>IF($B77="","",IF($F77="Full Plot",'⚙️ Config'!$B$6,IF($F77="Half Plot",'⚙️ Config'!$B$7,"")))</f>
        <v/>
      </c>
      <c r="I77" s="10" t="str">
        <f>IF($B77="","",IF($F77="Full Plot",$G77*'⚙️ Config'!$B$6,IF($F77="Half Plot",($G77/'⚙️ Config'!$E$7)*'⚙️ Config'!$B$7,0)))</f>
        <v/>
      </c>
      <c r="J77" s="11" t="str">
        <f>IF($B77="","",IF($F77="Full Plot",$G77*'⚙️ Config'!$C$6,IF($F77="Half Plot",($G77/'⚙️ Config'!$E$7)*'⚙️ Config'!$C$7,0)))</f>
        <v/>
      </c>
      <c r="K77" s="12" t="str">
        <f t="shared" si="9"/>
        <v/>
      </c>
      <c r="L77" s="25"/>
      <c r="M77" s="34" t="str">
        <f>IF($B77="","",IF($L77="","",IF($F77="Full Plot",$G77,IF($F77="Half Plot",$G77/'⚙️ Config'!$E$7,0))*IFERROR(VLOOKUP($L77,'⚙️ Config'!$A$11:$B$14,2,0),0)))</f>
        <v/>
      </c>
      <c r="N77" s="35" t="str">
        <f t="shared" si="10"/>
        <v/>
      </c>
      <c r="O77" s="33"/>
      <c r="P77" s="33"/>
      <c r="Q77" s="22"/>
      <c r="R77" s="36" t="str">
        <f t="shared" si="11"/>
        <v/>
      </c>
      <c r="S77" s="37"/>
      <c r="T77" s="38"/>
    </row>
    <row r="78" spans="1:20" ht="21" customHeight="1" x14ac:dyDescent="0.35">
      <c r="A78" s="29" t="str">
        <f t="shared" si="8"/>
        <v/>
      </c>
      <c r="B78" s="30"/>
      <c r="C78" s="31"/>
      <c r="D78" s="32"/>
      <c r="E78" s="33"/>
      <c r="F78" s="33"/>
      <c r="G78" s="9"/>
      <c r="H78" s="10" t="str">
        <f>IF($B78="","",IF($F78="Full Plot",'⚙️ Config'!$B$6,IF($F78="Half Plot",'⚙️ Config'!$B$7,"")))</f>
        <v/>
      </c>
      <c r="I78" s="10" t="str">
        <f>IF($B78="","",IF($F78="Full Plot",$G78*'⚙️ Config'!$B$6,IF($F78="Half Plot",($G78/'⚙️ Config'!$E$7)*'⚙️ Config'!$B$7,0)))</f>
        <v/>
      </c>
      <c r="J78" s="11" t="str">
        <f>IF($B78="","",IF($F78="Full Plot",$G78*'⚙️ Config'!$C$6,IF($F78="Half Plot",($G78/'⚙️ Config'!$E$7)*'⚙️ Config'!$C$7,0)))</f>
        <v/>
      </c>
      <c r="K78" s="12" t="str">
        <f t="shared" si="9"/>
        <v/>
      </c>
      <c r="L78" s="25"/>
      <c r="M78" s="34" t="str">
        <f>IF($B78="","",IF($L78="","",IF($F78="Full Plot",$G78,IF($F78="Half Plot",$G78/'⚙️ Config'!$E$7,0))*IFERROR(VLOOKUP($L78,'⚙️ Config'!$A$11:$B$14,2,0),0)))</f>
        <v/>
      </c>
      <c r="N78" s="35" t="str">
        <f t="shared" si="10"/>
        <v/>
      </c>
      <c r="O78" s="33"/>
      <c r="P78" s="33"/>
      <c r="Q78" s="22"/>
      <c r="R78" s="36" t="str">
        <f t="shared" si="11"/>
        <v/>
      </c>
      <c r="S78" s="37"/>
      <c r="T78" s="38"/>
    </row>
    <row r="79" spans="1:20" ht="21" customHeight="1" x14ac:dyDescent="0.35">
      <c r="A79" s="29" t="str">
        <f t="shared" si="8"/>
        <v/>
      </c>
      <c r="B79" s="30"/>
      <c r="C79" s="31"/>
      <c r="D79" s="32"/>
      <c r="E79" s="33"/>
      <c r="F79" s="33"/>
      <c r="G79" s="9"/>
      <c r="H79" s="10" t="str">
        <f>IF($B79="","",IF($F79="Full Plot",'⚙️ Config'!$B$6,IF($F79="Half Plot",'⚙️ Config'!$B$7,"")))</f>
        <v/>
      </c>
      <c r="I79" s="10" t="str">
        <f>IF($B79="","",IF($F79="Full Plot",$G79*'⚙️ Config'!$B$6,IF($F79="Half Plot",($G79/'⚙️ Config'!$E$7)*'⚙️ Config'!$B$7,0)))</f>
        <v/>
      </c>
      <c r="J79" s="11" t="str">
        <f>IF($B79="","",IF($F79="Full Plot",$G79*'⚙️ Config'!$C$6,IF($F79="Half Plot",($G79/'⚙️ Config'!$E$7)*'⚙️ Config'!$C$7,0)))</f>
        <v/>
      </c>
      <c r="K79" s="12" t="str">
        <f t="shared" si="9"/>
        <v/>
      </c>
      <c r="L79" s="25"/>
      <c r="M79" s="34" t="str">
        <f>IF($B79="","",IF($L79="","",IF($F79="Full Plot",$G79,IF($F79="Half Plot",$G79/'⚙️ Config'!$E$7,0))*IFERROR(VLOOKUP($L79,'⚙️ Config'!$A$11:$B$14,2,0),0)))</f>
        <v/>
      </c>
      <c r="N79" s="35" t="str">
        <f t="shared" si="10"/>
        <v/>
      </c>
      <c r="O79" s="33"/>
      <c r="P79" s="33"/>
      <c r="Q79" s="22"/>
      <c r="R79" s="36" t="str">
        <f t="shared" si="11"/>
        <v/>
      </c>
      <c r="S79" s="37"/>
      <c r="T79" s="38"/>
    </row>
    <row r="80" spans="1:20" ht="21" customHeight="1" x14ac:dyDescent="0.35">
      <c r="A80" s="29" t="str">
        <f t="shared" si="8"/>
        <v/>
      </c>
      <c r="B80" s="30"/>
      <c r="C80" s="31"/>
      <c r="D80" s="32"/>
      <c r="E80" s="33"/>
      <c r="F80" s="33"/>
      <c r="G80" s="9"/>
      <c r="H80" s="10" t="str">
        <f>IF($B80="","",IF($F80="Full Plot",'⚙️ Config'!$B$6,IF($F80="Half Plot",'⚙️ Config'!$B$7,"")))</f>
        <v/>
      </c>
      <c r="I80" s="10" t="str">
        <f>IF($B80="","",IF($F80="Full Plot",$G80*'⚙️ Config'!$B$6,IF($F80="Half Plot",($G80/'⚙️ Config'!$E$7)*'⚙️ Config'!$B$7,0)))</f>
        <v/>
      </c>
      <c r="J80" s="11" t="str">
        <f>IF($B80="","",IF($F80="Full Plot",$G80*'⚙️ Config'!$C$6,IF($F80="Half Plot",($G80/'⚙️ Config'!$E$7)*'⚙️ Config'!$C$7,0)))</f>
        <v/>
      </c>
      <c r="K80" s="12" t="str">
        <f t="shared" si="9"/>
        <v/>
      </c>
      <c r="L80" s="25"/>
      <c r="M80" s="34" t="str">
        <f>IF($B80="","",IF($L80="","",IF($F80="Full Plot",$G80,IF($F80="Half Plot",$G80/'⚙️ Config'!$E$7,0))*IFERROR(VLOOKUP($L80,'⚙️ Config'!$A$11:$B$14,2,0),0)))</f>
        <v/>
      </c>
      <c r="N80" s="35" t="str">
        <f t="shared" si="10"/>
        <v/>
      </c>
      <c r="O80" s="33"/>
      <c r="P80" s="33"/>
      <c r="Q80" s="22"/>
      <c r="R80" s="36" t="str">
        <f t="shared" si="11"/>
        <v/>
      </c>
      <c r="S80" s="37"/>
      <c r="T80" s="38"/>
    </row>
    <row r="81" spans="1:20" ht="21" customHeight="1" x14ac:dyDescent="0.35">
      <c r="A81" s="29" t="str">
        <f t="shared" si="8"/>
        <v/>
      </c>
      <c r="B81" s="30"/>
      <c r="C81" s="31"/>
      <c r="D81" s="32"/>
      <c r="E81" s="33"/>
      <c r="F81" s="33"/>
      <c r="G81" s="9"/>
      <c r="H81" s="10" t="str">
        <f>IF($B81="","",IF($F81="Full Plot",'⚙️ Config'!$B$6,IF($F81="Half Plot",'⚙️ Config'!$B$7,"")))</f>
        <v/>
      </c>
      <c r="I81" s="10" t="str">
        <f>IF($B81="","",IF($F81="Full Plot",$G81*'⚙️ Config'!$B$6,IF($F81="Half Plot",($G81/'⚙️ Config'!$E$7)*'⚙️ Config'!$B$7,0)))</f>
        <v/>
      </c>
      <c r="J81" s="11" t="str">
        <f>IF($B81="","",IF($F81="Full Plot",$G81*'⚙️ Config'!$C$6,IF($F81="Half Plot",($G81/'⚙️ Config'!$E$7)*'⚙️ Config'!$C$7,0)))</f>
        <v/>
      </c>
      <c r="K81" s="12" t="str">
        <f t="shared" si="9"/>
        <v/>
      </c>
      <c r="L81" s="25"/>
      <c r="M81" s="34" t="str">
        <f>IF($B81="","",IF($L81="","",IF($F81="Full Plot",$G81,IF($F81="Half Plot",$G81/'⚙️ Config'!$E$7,0))*IFERROR(VLOOKUP($L81,'⚙️ Config'!$A$11:$B$14,2,0),0)))</f>
        <v/>
      </c>
      <c r="N81" s="35" t="str">
        <f t="shared" si="10"/>
        <v/>
      </c>
      <c r="O81" s="33"/>
      <c r="P81" s="33"/>
      <c r="Q81" s="22"/>
      <c r="R81" s="36" t="str">
        <f t="shared" si="11"/>
        <v/>
      </c>
      <c r="S81" s="37"/>
      <c r="T81" s="38"/>
    </row>
    <row r="82" spans="1:20" ht="21" customHeight="1" x14ac:dyDescent="0.35">
      <c r="A82" s="29" t="str">
        <f t="shared" si="8"/>
        <v/>
      </c>
      <c r="B82" s="30"/>
      <c r="C82" s="31"/>
      <c r="D82" s="32"/>
      <c r="E82" s="33"/>
      <c r="F82" s="33"/>
      <c r="G82" s="9"/>
      <c r="H82" s="10" t="str">
        <f>IF($B82="","",IF($F82="Full Plot",'⚙️ Config'!$B$6,IF($F82="Half Plot",'⚙️ Config'!$B$7,"")))</f>
        <v/>
      </c>
      <c r="I82" s="10" t="str">
        <f>IF($B82="","",IF($F82="Full Plot",$G82*'⚙️ Config'!$B$6,IF($F82="Half Plot",($G82/'⚙️ Config'!$E$7)*'⚙️ Config'!$B$7,0)))</f>
        <v/>
      </c>
      <c r="J82" s="11" t="str">
        <f>IF($B82="","",IF($F82="Full Plot",$G82*'⚙️ Config'!$C$6,IF($F82="Half Plot",($G82/'⚙️ Config'!$E$7)*'⚙️ Config'!$C$7,0)))</f>
        <v/>
      </c>
      <c r="K82" s="12" t="str">
        <f t="shared" si="9"/>
        <v/>
      </c>
      <c r="L82" s="25"/>
      <c r="M82" s="34" t="str">
        <f>IF($B82="","",IF($L82="","",IF($F82="Full Plot",$G82,IF($F82="Half Plot",$G82/'⚙️ Config'!$E$7,0))*IFERROR(VLOOKUP($L82,'⚙️ Config'!$A$11:$B$14,2,0),0)))</f>
        <v/>
      </c>
      <c r="N82" s="35" t="str">
        <f t="shared" si="10"/>
        <v/>
      </c>
      <c r="O82" s="33"/>
      <c r="P82" s="33"/>
      <c r="Q82" s="22"/>
      <c r="R82" s="36" t="str">
        <f t="shared" si="11"/>
        <v/>
      </c>
      <c r="S82" s="37"/>
      <c r="T82" s="38"/>
    </row>
    <row r="83" spans="1:20" ht="21" customHeight="1" x14ac:dyDescent="0.35">
      <c r="A83" s="29" t="str">
        <f t="shared" si="8"/>
        <v/>
      </c>
      <c r="B83" s="30"/>
      <c r="C83" s="31"/>
      <c r="D83" s="32"/>
      <c r="E83" s="33"/>
      <c r="F83" s="33"/>
      <c r="G83" s="9"/>
      <c r="H83" s="10" t="str">
        <f>IF($B83="","",IF($F83="Full Plot",'⚙️ Config'!$B$6,IF($F83="Half Plot",'⚙️ Config'!$B$7,"")))</f>
        <v/>
      </c>
      <c r="I83" s="10" t="str">
        <f>IF($B83="","",IF($F83="Full Plot",$G83*'⚙️ Config'!$B$6,IF($F83="Half Plot",($G83/'⚙️ Config'!$E$7)*'⚙️ Config'!$B$7,0)))</f>
        <v/>
      </c>
      <c r="J83" s="11" t="str">
        <f>IF($B83="","",IF($F83="Full Plot",$G83*'⚙️ Config'!$C$6,IF($F83="Half Plot",($G83/'⚙️ Config'!$E$7)*'⚙️ Config'!$C$7,0)))</f>
        <v/>
      </c>
      <c r="K83" s="12" t="str">
        <f t="shared" si="9"/>
        <v/>
      </c>
      <c r="L83" s="25"/>
      <c r="M83" s="34" t="str">
        <f>IF($B83="","",IF($L83="","",IF($F83="Full Plot",$G83,IF($F83="Half Plot",$G83/'⚙️ Config'!$E$7,0))*IFERROR(VLOOKUP($L83,'⚙️ Config'!$A$11:$B$14,2,0),0)))</f>
        <v/>
      </c>
      <c r="N83" s="35" t="str">
        <f t="shared" si="10"/>
        <v/>
      </c>
      <c r="O83" s="33"/>
      <c r="P83" s="33"/>
      <c r="Q83" s="22"/>
      <c r="R83" s="36" t="str">
        <f t="shared" si="11"/>
        <v/>
      </c>
      <c r="S83" s="37"/>
      <c r="T83" s="38"/>
    </row>
    <row r="84" spans="1:20" ht="21" customHeight="1" x14ac:dyDescent="0.35">
      <c r="A84" s="29" t="str">
        <f t="shared" si="8"/>
        <v/>
      </c>
      <c r="B84" s="30"/>
      <c r="C84" s="31"/>
      <c r="D84" s="32"/>
      <c r="E84" s="33"/>
      <c r="F84" s="33"/>
      <c r="G84" s="9"/>
      <c r="H84" s="10" t="str">
        <f>IF($B84="","",IF($F84="Full Plot",'⚙️ Config'!$B$6,IF($F84="Half Plot",'⚙️ Config'!$B$7,"")))</f>
        <v/>
      </c>
      <c r="I84" s="10" t="str">
        <f>IF($B84="","",IF($F84="Full Plot",$G84*'⚙️ Config'!$B$6,IF($F84="Half Plot",($G84/'⚙️ Config'!$E$7)*'⚙️ Config'!$B$7,0)))</f>
        <v/>
      </c>
      <c r="J84" s="11" t="str">
        <f>IF($B84="","",IF($F84="Full Plot",$G84*'⚙️ Config'!$C$6,IF($F84="Half Plot",($G84/'⚙️ Config'!$E$7)*'⚙️ Config'!$C$7,0)))</f>
        <v/>
      </c>
      <c r="K84" s="12" t="str">
        <f t="shared" si="9"/>
        <v/>
      </c>
      <c r="L84" s="25"/>
      <c r="M84" s="34" t="str">
        <f>IF($B84="","",IF($L84="","",IF($F84="Full Plot",$G84,IF($F84="Half Plot",$G84/'⚙️ Config'!$E$7,0))*IFERROR(VLOOKUP($L84,'⚙️ Config'!$A$11:$B$14,2,0),0)))</f>
        <v/>
      </c>
      <c r="N84" s="35" t="str">
        <f t="shared" si="10"/>
        <v/>
      </c>
      <c r="O84" s="33"/>
      <c r="P84" s="33"/>
      <c r="Q84" s="22"/>
      <c r="R84" s="36" t="str">
        <f t="shared" si="11"/>
        <v/>
      </c>
      <c r="S84" s="37"/>
      <c r="T84" s="38"/>
    </row>
    <row r="85" spans="1:20" ht="21" customHeight="1" x14ac:dyDescent="0.35">
      <c r="A85" s="29" t="str">
        <f t="shared" si="8"/>
        <v/>
      </c>
      <c r="B85" s="30"/>
      <c r="C85" s="31"/>
      <c r="D85" s="32"/>
      <c r="E85" s="33"/>
      <c r="F85" s="33"/>
      <c r="G85" s="9"/>
      <c r="H85" s="10" t="str">
        <f>IF($B85="","",IF($F85="Full Plot",'⚙️ Config'!$B$6,IF($F85="Half Plot",'⚙️ Config'!$B$7,"")))</f>
        <v/>
      </c>
      <c r="I85" s="10" t="str">
        <f>IF($B85="","",IF($F85="Full Plot",$G85*'⚙️ Config'!$B$6,IF($F85="Half Plot",($G85/'⚙️ Config'!$E$7)*'⚙️ Config'!$B$7,0)))</f>
        <v/>
      </c>
      <c r="J85" s="11" t="str">
        <f>IF($B85="","",IF($F85="Full Plot",$G85*'⚙️ Config'!$C$6,IF($F85="Half Plot",($G85/'⚙️ Config'!$E$7)*'⚙️ Config'!$C$7,0)))</f>
        <v/>
      </c>
      <c r="K85" s="12" t="str">
        <f t="shared" si="9"/>
        <v/>
      </c>
      <c r="L85" s="25"/>
      <c r="M85" s="34" t="str">
        <f>IF($B85="","",IF($L85="","",IF($F85="Full Plot",$G85,IF($F85="Half Plot",$G85/'⚙️ Config'!$E$7,0))*IFERROR(VLOOKUP($L85,'⚙️ Config'!$A$11:$B$14,2,0),0)))</f>
        <v/>
      </c>
      <c r="N85" s="35" t="str">
        <f t="shared" si="10"/>
        <v/>
      </c>
      <c r="O85" s="33"/>
      <c r="P85" s="33"/>
      <c r="Q85" s="22"/>
      <c r="R85" s="36" t="str">
        <f t="shared" si="11"/>
        <v/>
      </c>
      <c r="S85" s="37"/>
      <c r="T85" s="38"/>
    </row>
    <row r="86" spans="1:20" ht="21" customHeight="1" x14ac:dyDescent="0.35">
      <c r="A86" s="29" t="str">
        <f t="shared" si="8"/>
        <v/>
      </c>
      <c r="B86" s="30"/>
      <c r="C86" s="31"/>
      <c r="D86" s="32"/>
      <c r="E86" s="33"/>
      <c r="F86" s="33"/>
      <c r="G86" s="9"/>
      <c r="H86" s="10" t="str">
        <f>IF($B86="","",IF($F86="Full Plot",'⚙️ Config'!$B$6,IF($F86="Half Plot",'⚙️ Config'!$B$7,"")))</f>
        <v/>
      </c>
      <c r="I86" s="10" t="str">
        <f>IF($B86="","",IF($F86="Full Plot",$G86*'⚙️ Config'!$B$6,IF($F86="Half Plot",($G86/'⚙️ Config'!$E$7)*'⚙️ Config'!$B$7,0)))</f>
        <v/>
      </c>
      <c r="J86" s="11" t="str">
        <f>IF($B86="","",IF($F86="Full Plot",$G86*'⚙️ Config'!$C$6,IF($F86="Half Plot",($G86/'⚙️ Config'!$E$7)*'⚙️ Config'!$C$7,0)))</f>
        <v/>
      </c>
      <c r="K86" s="12" t="str">
        <f t="shared" si="9"/>
        <v/>
      </c>
      <c r="L86" s="25"/>
      <c r="M86" s="34" t="str">
        <f>IF($B86="","",IF($L86="","",IF($F86="Full Plot",$G86,IF($F86="Half Plot",$G86/'⚙️ Config'!$E$7,0))*IFERROR(VLOOKUP($L86,'⚙️ Config'!$A$11:$B$14,2,0),0)))</f>
        <v/>
      </c>
      <c r="N86" s="35" t="str">
        <f t="shared" si="10"/>
        <v/>
      </c>
      <c r="O86" s="33"/>
      <c r="P86" s="33"/>
      <c r="Q86" s="22"/>
      <c r="R86" s="36" t="str">
        <f t="shared" si="11"/>
        <v/>
      </c>
      <c r="S86" s="37"/>
      <c r="T86" s="38"/>
    </row>
    <row r="87" spans="1:20" ht="21" customHeight="1" x14ac:dyDescent="0.35">
      <c r="A87" s="29" t="str">
        <f t="shared" si="8"/>
        <v/>
      </c>
      <c r="B87" s="30"/>
      <c r="C87" s="31"/>
      <c r="D87" s="32"/>
      <c r="E87" s="33"/>
      <c r="F87" s="33"/>
      <c r="G87" s="9"/>
      <c r="H87" s="10" t="str">
        <f>IF($B87="","",IF($F87="Full Plot",'⚙️ Config'!$B$6,IF($F87="Half Plot",'⚙️ Config'!$B$7,"")))</f>
        <v/>
      </c>
      <c r="I87" s="10" t="str">
        <f>IF($B87="","",IF($F87="Full Plot",$G87*'⚙️ Config'!$B$6,IF($F87="Half Plot",($G87/'⚙️ Config'!$E$7)*'⚙️ Config'!$B$7,0)))</f>
        <v/>
      </c>
      <c r="J87" s="11" t="str">
        <f>IF($B87="","",IF($F87="Full Plot",$G87*'⚙️ Config'!$C$6,IF($F87="Half Plot",($G87/'⚙️ Config'!$E$7)*'⚙️ Config'!$C$7,0)))</f>
        <v/>
      </c>
      <c r="K87" s="12" t="str">
        <f t="shared" si="9"/>
        <v/>
      </c>
      <c r="L87" s="25"/>
      <c r="M87" s="34" t="str">
        <f>IF($B87="","",IF($L87="","",IF($F87="Full Plot",$G87,IF($F87="Half Plot",$G87/'⚙️ Config'!$E$7,0))*IFERROR(VLOOKUP($L87,'⚙️ Config'!$A$11:$B$14,2,0),0)))</f>
        <v/>
      </c>
      <c r="N87" s="35" t="str">
        <f t="shared" si="10"/>
        <v/>
      </c>
      <c r="O87" s="33"/>
      <c r="P87" s="33"/>
      <c r="Q87" s="22"/>
      <c r="R87" s="36" t="str">
        <f t="shared" si="11"/>
        <v/>
      </c>
      <c r="S87" s="37"/>
      <c r="T87" s="38"/>
    </row>
    <row r="88" spans="1:20" ht="21" customHeight="1" x14ac:dyDescent="0.35">
      <c r="A88" s="29" t="str">
        <f t="shared" si="8"/>
        <v/>
      </c>
      <c r="B88" s="30"/>
      <c r="C88" s="31"/>
      <c r="D88" s="32"/>
      <c r="E88" s="33"/>
      <c r="F88" s="33"/>
      <c r="G88" s="9"/>
      <c r="H88" s="10" t="str">
        <f>IF($B88="","",IF($F88="Full Plot",'⚙️ Config'!$B$6,IF($F88="Half Plot",'⚙️ Config'!$B$7,"")))</f>
        <v/>
      </c>
      <c r="I88" s="10" t="str">
        <f>IF($B88="","",IF($F88="Full Plot",$G88*'⚙️ Config'!$B$6,IF($F88="Half Plot",($G88/'⚙️ Config'!$E$7)*'⚙️ Config'!$B$7,0)))</f>
        <v/>
      </c>
      <c r="J88" s="11" t="str">
        <f>IF($B88="","",IF($F88="Full Plot",$G88*'⚙️ Config'!$C$6,IF($F88="Half Plot",($G88/'⚙️ Config'!$E$7)*'⚙️ Config'!$C$7,0)))</f>
        <v/>
      </c>
      <c r="K88" s="12" t="str">
        <f t="shared" si="9"/>
        <v/>
      </c>
      <c r="L88" s="25"/>
      <c r="M88" s="34" t="str">
        <f>IF($B88="","",IF($L88="","",IF($F88="Full Plot",$G88,IF($F88="Half Plot",$G88/'⚙️ Config'!$E$7,0))*IFERROR(VLOOKUP($L88,'⚙️ Config'!$A$11:$B$14,2,0),0)))</f>
        <v/>
      </c>
      <c r="N88" s="35" t="str">
        <f t="shared" si="10"/>
        <v/>
      </c>
      <c r="O88" s="33"/>
      <c r="P88" s="33"/>
      <c r="Q88" s="22"/>
      <c r="R88" s="36" t="str">
        <f t="shared" si="11"/>
        <v/>
      </c>
      <c r="S88" s="37"/>
      <c r="T88" s="38"/>
    </row>
    <row r="89" spans="1:20" ht="21" customHeight="1" x14ac:dyDescent="0.35">
      <c r="A89" s="29" t="str">
        <f t="shared" si="8"/>
        <v/>
      </c>
      <c r="B89" s="30"/>
      <c r="C89" s="31"/>
      <c r="D89" s="32"/>
      <c r="E89" s="33"/>
      <c r="F89" s="33"/>
      <c r="G89" s="9"/>
      <c r="H89" s="10" t="str">
        <f>IF($B89="","",IF($F89="Full Plot",'⚙️ Config'!$B$6,IF($F89="Half Plot",'⚙️ Config'!$B$7,"")))</f>
        <v/>
      </c>
      <c r="I89" s="10" t="str">
        <f>IF($B89="","",IF($F89="Full Plot",$G89*'⚙️ Config'!$B$6,IF($F89="Half Plot",($G89/'⚙️ Config'!$E$7)*'⚙️ Config'!$B$7,0)))</f>
        <v/>
      </c>
      <c r="J89" s="11" t="str">
        <f>IF($B89="","",IF($F89="Full Plot",$G89*'⚙️ Config'!$C$6,IF($F89="Half Plot",($G89/'⚙️ Config'!$E$7)*'⚙️ Config'!$C$7,0)))</f>
        <v/>
      </c>
      <c r="K89" s="12" t="str">
        <f t="shared" si="9"/>
        <v/>
      </c>
      <c r="L89" s="25"/>
      <c r="M89" s="34" t="str">
        <f>IF($B89="","",IF($L89="","",IF($F89="Full Plot",$G89,IF($F89="Half Plot",$G89/'⚙️ Config'!$E$7,0))*IFERROR(VLOOKUP($L89,'⚙️ Config'!$A$11:$B$14,2,0),0)))</f>
        <v/>
      </c>
      <c r="N89" s="35" t="str">
        <f t="shared" si="10"/>
        <v/>
      </c>
      <c r="O89" s="33"/>
      <c r="P89" s="33"/>
      <c r="Q89" s="22"/>
      <c r="R89" s="36" t="str">
        <f t="shared" si="11"/>
        <v/>
      </c>
      <c r="S89" s="37"/>
      <c r="T89" s="38"/>
    </row>
    <row r="90" spans="1:20" ht="21" customHeight="1" x14ac:dyDescent="0.35">
      <c r="A90" s="29" t="str">
        <f t="shared" si="8"/>
        <v/>
      </c>
      <c r="B90" s="30"/>
      <c r="C90" s="31"/>
      <c r="D90" s="32"/>
      <c r="E90" s="33"/>
      <c r="F90" s="33"/>
      <c r="G90" s="9"/>
      <c r="H90" s="10" t="str">
        <f>IF($B90="","",IF($F90="Full Plot",'⚙️ Config'!$B$6,IF($F90="Half Plot",'⚙️ Config'!$B$7,"")))</f>
        <v/>
      </c>
      <c r="I90" s="10" t="str">
        <f>IF($B90="","",IF($F90="Full Plot",$G90*'⚙️ Config'!$B$6,IF($F90="Half Plot",($G90/'⚙️ Config'!$E$7)*'⚙️ Config'!$B$7,0)))</f>
        <v/>
      </c>
      <c r="J90" s="11" t="str">
        <f>IF($B90="","",IF($F90="Full Plot",$G90*'⚙️ Config'!$C$6,IF($F90="Half Plot",($G90/'⚙️ Config'!$E$7)*'⚙️ Config'!$C$7,0)))</f>
        <v/>
      </c>
      <c r="K90" s="12" t="str">
        <f t="shared" si="9"/>
        <v/>
      </c>
      <c r="L90" s="25"/>
      <c r="M90" s="34" t="str">
        <f>IF($B90="","",IF($L90="","",IF($F90="Full Plot",$G90,IF($F90="Half Plot",$G90/'⚙️ Config'!$E$7,0))*IFERROR(VLOOKUP($L90,'⚙️ Config'!$A$11:$B$14,2,0),0)))</f>
        <v/>
      </c>
      <c r="N90" s="35" t="str">
        <f t="shared" si="10"/>
        <v/>
      </c>
      <c r="O90" s="33"/>
      <c r="P90" s="33"/>
      <c r="Q90" s="22"/>
      <c r="R90" s="36" t="str">
        <f t="shared" si="11"/>
        <v/>
      </c>
      <c r="S90" s="37"/>
      <c r="T90" s="38"/>
    </row>
    <row r="91" spans="1:20" ht="21" customHeight="1" x14ac:dyDescent="0.35">
      <c r="A91" s="29" t="str">
        <f t="shared" si="8"/>
        <v/>
      </c>
      <c r="B91" s="30"/>
      <c r="C91" s="31"/>
      <c r="D91" s="32"/>
      <c r="E91" s="33"/>
      <c r="F91" s="33"/>
      <c r="G91" s="9"/>
      <c r="H91" s="10" t="str">
        <f>IF($B91="","",IF($F91="Full Plot",'⚙️ Config'!$B$6,IF($F91="Half Plot",'⚙️ Config'!$B$7,"")))</f>
        <v/>
      </c>
      <c r="I91" s="10" t="str">
        <f>IF($B91="","",IF($F91="Full Plot",$G91*'⚙️ Config'!$B$6,IF($F91="Half Plot",($G91/'⚙️ Config'!$E$7)*'⚙️ Config'!$B$7,0)))</f>
        <v/>
      </c>
      <c r="J91" s="11" t="str">
        <f>IF($B91="","",IF($F91="Full Plot",$G91*'⚙️ Config'!$C$6,IF($F91="Half Plot",($G91/'⚙️ Config'!$E$7)*'⚙️ Config'!$C$7,0)))</f>
        <v/>
      </c>
      <c r="K91" s="12" t="str">
        <f t="shared" si="9"/>
        <v/>
      </c>
      <c r="L91" s="25"/>
      <c r="M91" s="34" t="str">
        <f>IF($B91="","",IF($L91="","",IF($F91="Full Plot",$G91,IF($F91="Half Plot",$G91/'⚙️ Config'!$E$7,0))*IFERROR(VLOOKUP($L91,'⚙️ Config'!$A$11:$B$14,2,0),0)))</f>
        <v/>
      </c>
      <c r="N91" s="35" t="str">
        <f t="shared" si="10"/>
        <v/>
      </c>
      <c r="O91" s="33"/>
      <c r="P91" s="33"/>
      <c r="Q91" s="22"/>
      <c r="R91" s="36" t="str">
        <f t="shared" si="11"/>
        <v/>
      </c>
      <c r="S91" s="37"/>
      <c r="T91" s="38"/>
    </row>
    <row r="92" spans="1:20" ht="30" customHeight="1" x14ac:dyDescent="0.35">
      <c r="A92" s="40" t="s">
        <v>75</v>
      </c>
    </row>
    <row r="93" spans="1:20" ht="21" customHeight="1" x14ac:dyDescent="0.35"/>
    <row r="94" spans="1:20" ht="21" customHeight="1" x14ac:dyDescent="0.35"/>
    <row r="95" spans="1:20" ht="21" customHeight="1" x14ac:dyDescent="0.35"/>
    <row r="96" spans="1:20" ht="21" customHeight="1" x14ac:dyDescent="0.35"/>
    <row r="97" ht="21" customHeight="1" x14ac:dyDescent="0.35"/>
    <row r="98" ht="21" customHeight="1" x14ac:dyDescent="0.35"/>
    <row r="99" ht="21" customHeight="1" x14ac:dyDescent="0.35"/>
    <row r="100" ht="21" customHeight="1" x14ac:dyDescent="0.35"/>
    <row r="101" ht="21" customHeight="1" x14ac:dyDescent="0.35"/>
    <row r="102" ht="21" customHeight="1" x14ac:dyDescent="0.35"/>
    <row r="103" ht="21" customHeight="1" x14ac:dyDescent="0.35"/>
    <row r="104" ht="21" customHeight="1" x14ac:dyDescent="0.35"/>
    <row r="105" ht="21" customHeight="1" x14ac:dyDescent="0.35"/>
    <row r="106" ht="21" customHeight="1" x14ac:dyDescent="0.35"/>
    <row r="107" ht="21" customHeight="1" x14ac:dyDescent="0.35"/>
    <row r="108" ht="21" customHeight="1" x14ac:dyDescent="0.35"/>
    <row r="109" ht="21" customHeight="1" x14ac:dyDescent="0.35"/>
    <row r="110" ht="21" customHeight="1" x14ac:dyDescent="0.35"/>
    <row r="111" ht="21" customHeight="1" x14ac:dyDescent="0.35"/>
    <row r="112" ht="21" customHeight="1" x14ac:dyDescent="0.35"/>
    <row r="113" ht="21" customHeight="1" x14ac:dyDescent="0.35"/>
    <row r="114" ht="21" customHeight="1" x14ac:dyDescent="0.35"/>
    <row r="115" ht="21" customHeight="1" x14ac:dyDescent="0.35"/>
    <row r="116" ht="21" customHeight="1" x14ac:dyDescent="0.35"/>
    <row r="117" ht="21" customHeight="1" x14ac:dyDescent="0.35"/>
    <row r="118" ht="21" customHeight="1" x14ac:dyDescent="0.35"/>
    <row r="119" ht="21" customHeight="1" x14ac:dyDescent="0.35"/>
  </sheetData>
  <autoFilter ref="A7:T92" xr:uid="{00000000-0009-0000-0000-000000000000}"/>
  <mergeCells count="31">
    <mergeCell ref="A29:T29"/>
    <mergeCell ref="K5:L5"/>
    <mergeCell ref="M5:N5"/>
    <mergeCell ref="O5:P5"/>
    <mergeCell ref="Q5:T5"/>
    <mergeCell ref="A6:B6"/>
    <mergeCell ref="C6:D6"/>
    <mergeCell ref="E6:F6"/>
    <mergeCell ref="G6:H6"/>
    <mergeCell ref="I6:J6"/>
    <mergeCell ref="K6:L6"/>
    <mergeCell ref="M6:N6"/>
    <mergeCell ref="O6:P6"/>
    <mergeCell ref="Q6:T6"/>
    <mergeCell ref="A5:B5"/>
    <mergeCell ref="C5:D5"/>
    <mergeCell ref="E5:F5"/>
    <mergeCell ref="G5:H5"/>
    <mergeCell ref="I5:J5"/>
    <mergeCell ref="A1:T1"/>
    <mergeCell ref="A2:T2"/>
    <mergeCell ref="A3:T3"/>
    <mergeCell ref="A4:B4"/>
    <mergeCell ref="C4:D4"/>
    <mergeCell ref="E4:F4"/>
    <mergeCell ref="G4:H4"/>
    <mergeCell ref="I4:J4"/>
    <mergeCell ref="K4:L4"/>
    <mergeCell ref="M4:N4"/>
    <mergeCell ref="O4:P4"/>
    <mergeCell ref="Q4:T4"/>
  </mergeCells>
  <conditionalFormatting sqref="A8:T91">
    <cfRule type="expression" dxfId="5" priority="2">
      <formula>$E8="Closed-Won"</formula>
    </cfRule>
    <cfRule type="expression" dxfId="4" priority="3">
      <formula>$E8="Closed-Lost"</formula>
    </cfRule>
  </conditionalFormatting>
  <conditionalFormatting sqref="R8:R91">
    <cfRule type="cellIs" dxfId="3" priority="4" operator="equal">
      <formula>0</formula>
    </cfRule>
    <cfRule type="cellIs" dxfId="2" priority="5" operator="greaterThan">
      <formula>0</formula>
    </cfRule>
  </conditionalFormatting>
  <dataValidations count="6">
    <dataValidation type="list" showErrorMessage="1" promptTitle="Stage" prompt="Select current stage" sqref="E8:E91" xr:uid="{00000000-0002-0000-0000-000000000000}">
      <formula1>"Prospecting,Discovery,Qualified,Proposal,Negotiation,Closed-Won,Closed-Lost"</formula1>
      <formula2>0</formula2>
    </dataValidation>
    <dataValidation type="list" showErrorMessage="1" promptTitle="Plot Type" prompt="Full=1,2,3… | Half=0.5,1.0…" sqref="F8:F91" xr:uid="{00000000-0002-0000-0000-000001000000}">
      <formula1>"Full Plot,Half Plot"</formula1>
      <formula2>0</formula2>
    </dataValidation>
    <dataValidation type="list" showErrorMessage="1" promptTitle="Payment Plan" prompt="Select agreed plan" sqref="L8:L91" xr:uid="{00000000-0002-0000-0000-000002000000}">
      <formula1>"3 Months,6 Months,9 Months,12 Months"</formula1>
      <formula2>0</formula2>
    </dataValidation>
    <dataValidation type="list" showErrorMessage="1" promptTitle="Site Visit" prompt="Has a site visit been done?" sqref="O8:O91" xr:uid="{00000000-0002-0000-0000-000003000000}">
      <formula1>"Yes,No"</formula1>
      <formula2>0</formula2>
    </dataValidation>
    <dataValidation type="list" showErrorMessage="1" promptTitle="Priority" prompt="Lead priority level" sqref="P8:P91" xr:uid="{00000000-0002-0000-0000-000004000000}">
      <formula1>"High,Medium,Low"</formula1>
      <formula2>0</formula2>
    </dataValidation>
    <dataValidation type="decimal" operator="greaterThan" showErrorMessage="1" errorTitle="Invalid" error="Full Plot: 1, 2, 3…  |  Half Plot: 0.5 per half plot" promptTitle="No. of Plots" prompt="Full=1,2,3 | Half=0.5 per half" sqref="G8:G91" xr:uid="{00000000-0002-0000-0000-000005000000}">
      <formula1>0</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4"/>
  <sheetViews>
    <sheetView showGridLines="0" zoomScale="90" zoomScaleNormal="90" workbookViewId="0">
      <selection sqref="A1:L1"/>
    </sheetView>
  </sheetViews>
  <sheetFormatPr defaultColWidth="8.6328125" defaultRowHeight="14.5" x14ac:dyDescent="0.35"/>
  <cols>
    <col min="1" max="1" width="2" customWidth="1"/>
    <col min="2" max="2" width="20" customWidth="1"/>
    <col min="3" max="11" width="14" customWidth="1"/>
    <col min="12" max="12" width="2" customWidth="1"/>
  </cols>
  <sheetData>
    <row r="1" spans="1:12" ht="39.75" customHeight="1" x14ac:dyDescent="0.35">
      <c r="A1" s="120" t="s">
        <v>76</v>
      </c>
      <c r="B1" s="120"/>
      <c r="C1" s="120"/>
      <c r="D1" s="120"/>
      <c r="E1" s="120"/>
      <c r="F1" s="120"/>
      <c r="G1" s="120"/>
      <c r="H1" s="120"/>
      <c r="I1" s="120"/>
      <c r="J1" s="120"/>
      <c r="K1" s="120"/>
      <c r="L1" s="120"/>
    </row>
    <row r="2" spans="1:12" ht="15.75" customHeight="1" x14ac:dyDescent="0.35">
      <c r="A2" s="121" t="s">
        <v>77</v>
      </c>
      <c r="B2" s="121"/>
      <c r="C2" s="121"/>
      <c r="D2" s="121"/>
      <c r="E2" s="121"/>
      <c r="F2" s="121"/>
      <c r="G2" s="121"/>
      <c r="H2" s="121"/>
      <c r="I2" s="121"/>
      <c r="J2" s="121"/>
      <c r="K2" s="121"/>
      <c r="L2" s="121"/>
    </row>
    <row r="3" spans="1:12" ht="4.5" customHeight="1" x14ac:dyDescent="0.35">
      <c r="A3" s="122"/>
      <c r="B3" s="122"/>
      <c r="C3" s="122"/>
      <c r="D3" s="122"/>
      <c r="E3" s="122"/>
      <c r="F3" s="122"/>
      <c r="G3" s="122"/>
      <c r="H3" s="122"/>
      <c r="I3" s="122"/>
      <c r="J3" s="122"/>
      <c r="K3" s="122"/>
      <c r="L3" s="122"/>
    </row>
    <row r="4" spans="1:12" ht="19.5" customHeight="1" x14ac:dyDescent="0.35">
      <c r="B4" s="124" t="s">
        <v>78</v>
      </c>
      <c r="C4" s="124"/>
      <c r="D4" s="139" t="s">
        <v>79</v>
      </c>
      <c r="E4" s="139"/>
      <c r="F4" s="140" t="s">
        <v>80</v>
      </c>
      <c r="G4" s="140"/>
      <c r="H4" s="127" t="s">
        <v>81</v>
      </c>
      <c r="I4" s="127"/>
      <c r="J4" s="128" t="s">
        <v>82</v>
      </c>
      <c r="K4" s="128"/>
    </row>
    <row r="5" spans="1:12" ht="43.5" customHeight="1" x14ac:dyDescent="0.35">
      <c r="B5" s="155">
        <f>SUM('💼 Pipeline'!N8:N91)</f>
        <v>694500</v>
      </c>
      <c r="C5" s="155"/>
      <c r="D5" s="156">
        <f>SUM('💼 Pipeline'!Q8:Q91)</f>
        <v>0</v>
      </c>
      <c r="E5" s="156"/>
      <c r="F5" s="157">
        <f>SUM('💼 Pipeline'!R8:R91)</f>
        <v>694500</v>
      </c>
      <c r="G5" s="157"/>
      <c r="H5" s="158">
        <f>SUM('💼 Pipeline'!M8:M91)</f>
        <v>34500</v>
      </c>
      <c r="I5" s="158"/>
      <c r="J5" s="159">
        <f>IFERROR(SUM('💼 Pipeline'!Q8:Q91)/'⚙️ Config'!$B$19,0)</f>
        <v>0</v>
      </c>
      <c r="K5" s="159"/>
    </row>
    <row r="6" spans="1:12" ht="18" customHeight="1" x14ac:dyDescent="0.35">
      <c r="B6" s="148" t="s">
        <v>12</v>
      </c>
      <c r="C6" s="148"/>
      <c r="D6" s="149" t="s">
        <v>12</v>
      </c>
      <c r="E6" s="149"/>
      <c r="F6" s="150" t="s">
        <v>12</v>
      </c>
      <c r="G6" s="150"/>
      <c r="H6" s="151" t="s">
        <v>12</v>
      </c>
      <c r="I6" s="151"/>
      <c r="J6" s="153" t="s">
        <v>16</v>
      </c>
      <c r="K6" s="153"/>
    </row>
    <row r="7" spans="1:12" ht="3.75" customHeight="1" x14ac:dyDescent="0.35">
      <c r="A7" s="122"/>
      <c r="B7" s="122"/>
      <c r="C7" s="122"/>
      <c r="D7" s="122"/>
      <c r="E7" s="122"/>
      <c r="F7" s="122"/>
      <c r="G7" s="122"/>
      <c r="H7" s="122"/>
      <c r="I7" s="122"/>
      <c r="J7" s="122"/>
      <c r="K7" s="122"/>
      <c r="L7" s="122"/>
    </row>
    <row r="8" spans="1:12" ht="19.5" customHeight="1" x14ac:dyDescent="0.35">
      <c r="B8" s="123" t="s">
        <v>2</v>
      </c>
      <c r="C8" s="123"/>
      <c r="D8" s="139" t="s">
        <v>83</v>
      </c>
      <c r="E8" s="139"/>
      <c r="F8" s="160" t="s">
        <v>84</v>
      </c>
      <c r="G8" s="160"/>
      <c r="H8" s="124" t="s">
        <v>85</v>
      </c>
      <c r="I8" s="124"/>
      <c r="J8" s="141" t="s">
        <v>7</v>
      </c>
      <c r="K8" s="141"/>
    </row>
    <row r="9" spans="1:12" ht="43.5" customHeight="1" x14ac:dyDescent="0.35">
      <c r="B9" s="161">
        <f>COUNTA('💼 Pipeline'!B8:B91)</f>
        <v>9</v>
      </c>
      <c r="C9" s="161"/>
      <c r="D9" s="162">
        <f>'⚙️ Config'!$B$17</f>
        <v>1</v>
      </c>
      <c r="E9" s="162"/>
      <c r="F9" s="163">
        <f>'⚙️ Config'!$B$18</f>
        <v>2</v>
      </c>
      <c r="G9" s="163"/>
      <c r="H9" s="164">
        <f>COUNTIF('💼 Pipeline'!F8:F91,"Full Plot")</f>
        <v>7</v>
      </c>
      <c r="I9" s="164"/>
      <c r="J9" s="165">
        <f>COUNTIF('💼 Pipeline'!O8:O91,"Yes")</f>
        <v>2</v>
      </c>
      <c r="K9" s="165"/>
    </row>
    <row r="10" spans="1:12" ht="18" customHeight="1" x14ac:dyDescent="0.35">
      <c r="B10" s="147" t="s">
        <v>86</v>
      </c>
      <c r="C10" s="147"/>
      <c r="D10" s="149" t="s">
        <v>87</v>
      </c>
      <c r="E10" s="149"/>
      <c r="F10" s="166" t="s">
        <v>87</v>
      </c>
      <c r="G10" s="166"/>
      <c r="H10" s="148" t="s">
        <v>88</v>
      </c>
      <c r="I10" s="148"/>
      <c r="J10" s="152" t="s">
        <v>13</v>
      </c>
      <c r="K10" s="152"/>
    </row>
    <row r="11" spans="1:12" ht="3.75" customHeight="1" x14ac:dyDescent="0.35">
      <c r="A11" s="122"/>
      <c r="B11" s="122"/>
      <c r="C11" s="122"/>
      <c r="D11" s="122"/>
      <c r="E11" s="122"/>
      <c r="F11" s="122"/>
      <c r="G11" s="122"/>
      <c r="H11" s="122"/>
      <c r="I11" s="122"/>
      <c r="J11" s="122"/>
      <c r="K11" s="122"/>
      <c r="L11" s="122"/>
    </row>
    <row r="12" spans="1:12" ht="21.75" customHeight="1" x14ac:dyDescent="0.35">
      <c r="A12" s="167" t="s">
        <v>89</v>
      </c>
      <c r="B12" s="167"/>
      <c r="C12" s="167"/>
      <c r="D12" s="167"/>
      <c r="E12" s="167"/>
      <c r="F12" s="167"/>
      <c r="G12" s="167"/>
      <c r="H12" s="167"/>
      <c r="I12" s="167"/>
      <c r="J12" s="167"/>
      <c r="K12" s="167"/>
      <c r="L12" s="167"/>
    </row>
    <row r="13" spans="1:12" ht="19.5" customHeight="1" x14ac:dyDescent="0.35">
      <c r="B13" s="168" t="s">
        <v>20</v>
      </c>
      <c r="C13" s="168"/>
      <c r="D13" s="168" t="s">
        <v>90</v>
      </c>
      <c r="E13" s="168"/>
      <c r="F13" s="168" t="s">
        <v>91</v>
      </c>
      <c r="G13" s="168"/>
      <c r="H13" s="168" t="s">
        <v>92</v>
      </c>
      <c r="I13" s="168"/>
      <c r="J13" s="168" t="s">
        <v>93</v>
      </c>
      <c r="K13" s="168"/>
    </row>
    <row r="14" spans="1:12" ht="19.5" customHeight="1" x14ac:dyDescent="0.35">
      <c r="B14" s="169" t="s">
        <v>51</v>
      </c>
      <c r="C14" s="169"/>
      <c r="D14" s="170">
        <f>COUNTIF('💼 Pipeline'!E8:E91,"Prospecting")</f>
        <v>2</v>
      </c>
      <c r="E14" s="170"/>
      <c r="F14" s="171">
        <f>SUMIF('💼 Pipeline'!E8:E91,"Prospecting",'💼 Pipeline'!K8:K91)</f>
        <v>80000</v>
      </c>
      <c r="G14" s="171"/>
      <c r="H14" s="172">
        <f>SUMIF('💼 Pipeline'!E8:E91,"Prospecting",'💼 Pipeline'!N8:N91)</f>
        <v>84500</v>
      </c>
      <c r="I14" s="172"/>
      <c r="J14" s="173">
        <f>IFERROR(SUMIF('💼 Pipeline'!E8:E91,"Prospecting",'💼 Pipeline'!N8:N91)/SUM('💼 Pipeline'!N8:N91),0)</f>
        <v>0.1216702663786897</v>
      </c>
      <c r="K14" s="173"/>
    </row>
    <row r="15" spans="1:12" ht="19.5" customHeight="1" x14ac:dyDescent="0.35">
      <c r="B15" s="174" t="s">
        <v>56</v>
      </c>
      <c r="C15" s="174"/>
      <c r="D15" s="170">
        <f>COUNTIF('💼 Pipeline'!E8:E91,"Discovery")</f>
        <v>2</v>
      </c>
      <c r="E15" s="170"/>
      <c r="F15" s="171">
        <f>SUMIF('💼 Pipeline'!E8:E91,"Discovery",'💼 Pipeline'!K8:K91)</f>
        <v>160000</v>
      </c>
      <c r="G15" s="171"/>
      <c r="H15" s="172">
        <f>SUMIF('💼 Pipeline'!E8:E91,"Discovery",'💼 Pipeline'!N8:N91)</f>
        <v>164500</v>
      </c>
      <c r="I15" s="172"/>
      <c r="J15" s="173">
        <f>IFERROR(SUMIF('💼 Pipeline'!E8:E91,"Discovery",'💼 Pipeline'!N8:N91)/SUM('💼 Pipeline'!N8:N91),0)</f>
        <v>0.23686105111591071</v>
      </c>
      <c r="K15" s="173"/>
    </row>
    <row r="16" spans="1:12" ht="19.5" customHeight="1" x14ac:dyDescent="0.35">
      <c r="B16" s="175" t="s">
        <v>37</v>
      </c>
      <c r="C16" s="175"/>
      <c r="D16" s="170">
        <f>COUNTIF('💼 Pipeline'!E8:E91,"Qualified")</f>
        <v>1</v>
      </c>
      <c r="E16" s="170"/>
      <c r="F16" s="171">
        <f>SUMIF('💼 Pipeline'!E8:E91,"Qualified",'💼 Pipeline'!K8:K91)</f>
        <v>240000</v>
      </c>
      <c r="G16" s="171"/>
      <c r="H16" s="172">
        <f>SUMIF('💼 Pipeline'!E8:E91,"Qualified",'💼 Pipeline'!N8:N91)</f>
        <v>258000</v>
      </c>
      <c r="I16" s="172"/>
      <c r="J16" s="173">
        <f>IFERROR(SUMIF('💼 Pipeline'!E8:E91,"Qualified",'💼 Pipeline'!N8:N91)/SUM('💼 Pipeline'!N8:N91),0)</f>
        <v>0.37149028077753782</v>
      </c>
      <c r="K16" s="173"/>
    </row>
    <row r="17" spans="1:12" ht="19.5" customHeight="1" x14ac:dyDescent="0.35">
      <c r="B17" s="176" t="s">
        <v>64</v>
      </c>
      <c r="C17" s="176"/>
      <c r="D17" s="170">
        <f>COUNTIF('💼 Pipeline'!E8:E91,"Proposal")</f>
        <v>0</v>
      </c>
      <c r="E17" s="170"/>
      <c r="F17" s="171">
        <f>SUMIF('💼 Pipeline'!E8:E91,"Proposal",'💼 Pipeline'!K8:K91)</f>
        <v>0</v>
      </c>
      <c r="G17" s="171"/>
      <c r="H17" s="172">
        <f>SUMIF('💼 Pipeline'!E8:E91,"Proposal",'💼 Pipeline'!N8:N91)</f>
        <v>0</v>
      </c>
      <c r="I17" s="172"/>
      <c r="J17" s="173">
        <f>IFERROR(SUMIF('💼 Pipeline'!E8:E91,"Proposal",'💼 Pipeline'!N8:N91)/SUM('💼 Pipeline'!N8:N91),0)</f>
        <v>0</v>
      </c>
      <c r="K17" s="173"/>
    </row>
    <row r="18" spans="1:12" ht="19.5" customHeight="1" x14ac:dyDescent="0.35">
      <c r="B18" s="177" t="s">
        <v>46</v>
      </c>
      <c r="C18" s="177"/>
      <c r="D18" s="170">
        <f>COUNTIF('💼 Pipeline'!E8:E91,"Negotiation")</f>
        <v>4</v>
      </c>
      <c r="E18" s="170"/>
      <c r="F18" s="171">
        <f>SUMIF('💼 Pipeline'!E8:E91,"Negotiation",'💼 Pipeline'!K8:K91)</f>
        <v>180000</v>
      </c>
      <c r="G18" s="171"/>
      <c r="H18" s="172">
        <f>SUMIF('💼 Pipeline'!E8:E91,"Negotiation",'💼 Pipeline'!N8:N91)</f>
        <v>187500</v>
      </c>
      <c r="I18" s="172"/>
      <c r="J18" s="173">
        <f>IFERROR(SUMIF('💼 Pipeline'!E8:E91,"Negotiation",'💼 Pipeline'!N8:N91)/SUM('💼 Pipeline'!N8:N91),0)</f>
        <v>0.26997840172786175</v>
      </c>
      <c r="K18" s="173"/>
    </row>
    <row r="19" spans="1:12" ht="19.5" customHeight="1" x14ac:dyDescent="0.35">
      <c r="B19" s="178" t="s">
        <v>94</v>
      </c>
      <c r="C19" s="178"/>
      <c r="D19" s="170">
        <f>COUNTIF('💼 Pipeline'!E8:E91,"Closed-Won")</f>
        <v>0</v>
      </c>
      <c r="E19" s="170"/>
      <c r="F19" s="171">
        <f>SUMIF('💼 Pipeline'!E8:E91,"Closed-Won",'💼 Pipeline'!K8:K91)</f>
        <v>0</v>
      </c>
      <c r="G19" s="171"/>
      <c r="H19" s="172">
        <f>SUMIF('💼 Pipeline'!E8:E91,"Closed-Won",'💼 Pipeline'!N8:N91)</f>
        <v>0</v>
      </c>
      <c r="I19" s="172"/>
      <c r="J19" s="173">
        <f>IFERROR(SUMIF('💼 Pipeline'!E8:E91,"Closed-Won",'💼 Pipeline'!N8:N91)/SUM('💼 Pipeline'!N8:N91),0)</f>
        <v>0</v>
      </c>
      <c r="K19" s="173"/>
    </row>
    <row r="20" spans="1:12" ht="19.5" customHeight="1" x14ac:dyDescent="0.35">
      <c r="B20" s="179" t="s">
        <v>95</v>
      </c>
      <c r="C20" s="179"/>
      <c r="D20" s="170">
        <f>COUNTIF('💼 Pipeline'!E8:E91,"Closed-Lost")</f>
        <v>0</v>
      </c>
      <c r="E20" s="170"/>
      <c r="F20" s="171">
        <f>SUMIF('💼 Pipeline'!E8:E91,"Closed-Lost",'💼 Pipeline'!K8:K91)</f>
        <v>0</v>
      </c>
      <c r="G20" s="171"/>
      <c r="H20" s="172">
        <f>SUMIF('💼 Pipeline'!E8:E91,"Closed-Lost",'💼 Pipeline'!N8:N91)</f>
        <v>0</v>
      </c>
      <c r="I20" s="172"/>
      <c r="J20" s="173">
        <f>IFERROR(SUMIF('💼 Pipeline'!E8:E91,"Closed-Lost",'💼 Pipeline'!N8:N91)/SUM('💼 Pipeline'!N8:N91),0)</f>
        <v>0</v>
      </c>
      <c r="K20" s="173"/>
    </row>
    <row r="21" spans="1:12" ht="3.75" customHeight="1" x14ac:dyDescent="0.35">
      <c r="A21" s="122"/>
      <c r="B21" s="122"/>
      <c r="C21" s="122"/>
      <c r="D21" s="122"/>
      <c r="E21" s="122"/>
      <c r="F21" s="122"/>
      <c r="G21" s="122"/>
      <c r="H21" s="122"/>
      <c r="I21" s="122"/>
      <c r="J21" s="122"/>
      <c r="K21" s="122"/>
      <c r="L21" s="122"/>
    </row>
    <row r="22" spans="1:12" ht="21.75" customHeight="1" x14ac:dyDescent="0.35">
      <c r="A22" s="167" t="s">
        <v>96</v>
      </c>
      <c r="B22" s="167"/>
      <c r="C22" s="167"/>
      <c r="D22" s="167"/>
      <c r="E22" s="167"/>
      <c r="F22" s="167"/>
      <c r="G22" s="167"/>
      <c r="H22" s="167"/>
      <c r="I22" s="167"/>
      <c r="J22" s="167"/>
      <c r="K22" s="167"/>
      <c r="L22" s="167"/>
    </row>
    <row r="23" spans="1:12" ht="19.5" customHeight="1" x14ac:dyDescent="0.35">
      <c r="B23" s="168" t="s">
        <v>31</v>
      </c>
      <c r="C23" s="168"/>
      <c r="D23" s="168" t="s">
        <v>90</v>
      </c>
      <c r="E23" s="168"/>
      <c r="F23" s="168" t="s">
        <v>92</v>
      </c>
      <c r="G23" s="168"/>
      <c r="H23" s="168" t="s">
        <v>97</v>
      </c>
      <c r="I23" s="168"/>
      <c r="J23" s="168" t="s">
        <v>98</v>
      </c>
      <c r="K23" s="168"/>
    </row>
    <row r="24" spans="1:12" ht="19.5" customHeight="1" x14ac:dyDescent="0.35">
      <c r="B24" s="180" t="s">
        <v>41</v>
      </c>
      <c r="C24" s="180"/>
      <c r="D24" s="181">
        <f>COUNTIF('💼 Pipeline'!P8:P91,"High")</f>
        <v>1</v>
      </c>
      <c r="E24" s="181"/>
      <c r="F24" s="182">
        <f>SUMIF('💼 Pipeline'!P8:P91,"High",'💼 Pipeline'!N8:N91)</f>
        <v>258000</v>
      </c>
      <c r="G24" s="182"/>
      <c r="H24" s="183">
        <f>SUMIF('💼 Pipeline'!P8:P91,"High",'💼 Pipeline'!Q8:Q91)</f>
        <v>0</v>
      </c>
      <c r="I24" s="183"/>
      <c r="J24" s="184">
        <f>SUMIF('💼 Pipeline'!P8:P91,"High",'💼 Pipeline'!R8:R91)</f>
        <v>258000</v>
      </c>
      <c r="K24" s="184"/>
    </row>
    <row r="25" spans="1:12" ht="19.5" customHeight="1" x14ac:dyDescent="0.35">
      <c r="B25" s="189" t="s">
        <v>48</v>
      </c>
      <c r="C25" s="189"/>
      <c r="D25" s="181">
        <f>COUNTIF('💼 Pipeline'!P8:P91,"Medium")</f>
        <v>5</v>
      </c>
      <c r="E25" s="181"/>
      <c r="F25" s="182">
        <f>SUMIF('💼 Pipeline'!P8:P91,"Medium",'💼 Pipeline'!N8:N91)</f>
        <v>230500</v>
      </c>
      <c r="G25" s="182"/>
      <c r="H25" s="183">
        <f>SUMIF('💼 Pipeline'!P8:P91,"Medium",'💼 Pipeline'!Q8:Q91)</f>
        <v>0</v>
      </c>
      <c r="I25" s="183"/>
      <c r="J25" s="184">
        <f>SUMIF('💼 Pipeline'!P8:P91,"Medium",'💼 Pipeline'!R8:R91)</f>
        <v>230500</v>
      </c>
      <c r="K25" s="184"/>
    </row>
    <row r="26" spans="1:12" ht="19.5" customHeight="1" x14ac:dyDescent="0.35">
      <c r="B26" s="190" t="s">
        <v>53</v>
      </c>
      <c r="C26" s="190"/>
      <c r="D26" s="181">
        <f>COUNTIF('💼 Pipeline'!P8:P91,"Low")</f>
        <v>3</v>
      </c>
      <c r="E26" s="181"/>
      <c r="F26" s="182">
        <f>SUMIF('💼 Pipeline'!P8:P91,"Low",'💼 Pipeline'!N8:N91)</f>
        <v>206000</v>
      </c>
      <c r="G26" s="182"/>
      <c r="H26" s="183">
        <f>SUMIF('💼 Pipeline'!P8:P91,"Low",'💼 Pipeline'!Q8:Q91)</f>
        <v>0</v>
      </c>
      <c r="I26" s="183"/>
      <c r="J26" s="184">
        <f>SUMIF('💼 Pipeline'!P8:P91,"Low",'💼 Pipeline'!R8:R91)</f>
        <v>206000</v>
      </c>
      <c r="K26" s="184"/>
    </row>
    <row r="27" spans="1:12" ht="3.75" customHeight="1" x14ac:dyDescent="0.35">
      <c r="A27" s="122"/>
      <c r="B27" s="122"/>
      <c r="C27" s="122"/>
      <c r="D27" s="122"/>
      <c r="E27" s="122"/>
      <c r="F27" s="122"/>
      <c r="G27" s="122"/>
      <c r="H27" s="122"/>
      <c r="I27" s="122"/>
      <c r="J27" s="122"/>
      <c r="K27" s="122"/>
      <c r="L27" s="122"/>
    </row>
    <row r="28" spans="1:12" ht="21.75" customHeight="1" x14ac:dyDescent="0.35">
      <c r="A28" s="167" t="s">
        <v>99</v>
      </c>
      <c r="B28" s="167"/>
      <c r="C28" s="167"/>
      <c r="D28" s="167"/>
      <c r="E28" s="167"/>
      <c r="F28" s="167"/>
      <c r="G28" s="167"/>
      <c r="H28" s="167"/>
      <c r="I28" s="167"/>
      <c r="J28" s="167"/>
      <c r="K28" s="167"/>
      <c r="L28" s="167"/>
    </row>
    <row r="29" spans="1:12" ht="25.5" customHeight="1" x14ac:dyDescent="0.35">
      <c r="B29" s="185" t="str">
        <f>IFERROR("COLLECTED:  GHS "&amp;TEXT(SUM('💼 Pipeline'!Q8:Q91),"#,##0")&amp;"  of GHS "&amp;TEXT('⚙️ Config'!$B$19,"#,##0")&amp;" target  ["&amp;TEXT(IFERROR(SUM('💼 Pipeline'!Q8:Q91)/'⚙️ Config'!$B$19,0),"0.0%")&amp;" achieved]","")</f>
        <v>COLLECTED:  GHS 0  of GHS 96,000 target  [0.0% achieved]</v>
      </c>
      <c r="C29" s="185"/>
      <c r="D29" s="185"/>
      <c r="E29" s="185"/>
      <c r="F29" s="185"/>
      <c r="G29" s="185"/>
      <c r="H29" s="185"/>
      <c r="I29" s="185"/>
      <c r="J29" s="185"/>
      <c r="K29" s="185"/>
      <c r="L29" s="185"/>
    </row>
    <row r="30" spans="1:12" ht="25.5" customHeight="1" x14ac:dyDescent="0.35">
      <c r="B30" s="186" t="str">
        <f>IFERROR("PIPELINE:  GHS "&amp;TEXT(SUM('💼 Pipeline'!N8:N91),"#,##0")&amp;"  |  Outstanding:  GHS "&amp;TEXT(SUM('💼 Pipeline'!R8:R91),"#,##0")&amp;"  |  Total leads: "&amp;TEXT(COUNTA('💼 Pipeline'!B8:B91),"0"),"")</f>
        <v>PIPELINE:  GHS 694,500  |  Outstanding:  GHS 694,500  |  Total leads: 9</v>
      </c>
      <c r="C30" s="186"/>
      <c r="D30" s="186"/>
      <c r="E30" s="186"/>
      <c r="F30" s="186"/>
      <c r="G30" s="186"/>
      <c r="H30" s="186"/>
      <c r="I30" s="186"/>
      <c r="J30" s="186"/>
      <c r="K30" s="186"/>
      <c r="L30" s="186"/>
    </row>
    <row r="31" spans="1:12" ht="25.5" customHeight="1" x14ac:dyDescent="0.35">
      <c r="B31" s="187" t="str">
        <f>IFERROR("PERSONAL TARGET: "&amp;TEXT('⚙️ Config'!$B$18,"0")&amp;" plots/month  |  JOB TARGET: "&amp;TEXT('⚙️ Config'!$B$17,"0")&amp;" plot/month  |  Personal goal GHS: "&amp;TEXT('⚙️ Config'!$B$19*'⚙️ Config'!$B$18,"#,##0"),"")</f>
        <v>PERSONAL TARGET: 2 plots/month  |  JOB TARGET: 1 plot/month  |  Personal goal GHS: 192,000</v>
      </c>
      <c r="C31" s="187"/>
      <c r="D31" s="187"/>
      <c r="E31" s="187"/>
      <c r="F31" s="187"/>
      <c r="G31" s="187"/>
      <c r="H31" s="187"/>
      <c r="I31" s="187"/>
      <c r="J31" s="187"/>
      <c r="K31" s="187"/>
      <c r="L31" s="187"/>
    </row>
    <row r="32" spans="1:12" ht="21.75" customHeight="1" x14ac:dyDescent="0.35">
      <c r="A32" s="188" t="s">
        <v>100</v>
      </c>
      <c r="B32" s="188"/>
      <c r="C32" s="188"/>
      <c r="D32" s="188"/>
      <c r="E32" s="188"/>
      <c r="F32" s="188"/>
      <c r="G32" s="188"/>
      <c r="H32" s="188"/>
      <c r="I32" s="188"/>
      <c r="J32" s="188"/>
      <c r="K32" s="188"/>
      <c r="L32" s="188"/>
    </row>
    <row r="33" ht="19.5" customHeight="1" x14ac:dyDescent="0.35"/>
    <row r="34" ht="19.5" customHeight="1" x14ac:dyDescent="0.35"/>
    <row r="35" ht="19.5" customHeight="1" x14ac:dyDescent="0.35"/>
    <row r="36" ht="19.5" customHeight="1" x14ac:dyDescent="0.35"/>
    <row r="37" ht="19.5" customHeight="1" x14ac:dyDescent="0.35"/>
    <row r="38" ht="19.5" customHeight="1" x14ac:dyDescent="0.35"/>
    <row r="39" ht="19.5" customHeight="1" x14ac:dyDescent="0.35"/>
    <row r="40" ht="19.5" customHeight="1" x14ac:dyDescent="0.35"/>
    <row r="41" ht="19.5" customHeight="1" x14ac:dyDescent="0.35"/>
    <row r="42" ht="19.5" customHeight="1" x14ac:dyDescent="0.35"/>
    <row r="43" ht="19.5" customHeight="1" x14ac:dyDescent="0.35"/>
    <row r="44" ht="19.5" customHeight="1" x14ac:dyDescent="0.35"/>
    <row r="45" ht="19.5" customHeight="1" x14ac:dyDescent="0.35"/>
    <row r="46" ht="19.5" customHeight="1" x14ac:dyDescent="0.35"/>
    <row r="47" ht="19.5" customHeight="1" x14ac:dyDescent="0.35"/>
    <row r="48" ht="19.5" customHeight="1" x14ac:dyDescent="0.35"/>
    <row r="49" ht="19.5" customHeight="1" x14ac:dyDescent="0.35"/>
    <row r="50" ht="19.5" customHeight="1" x14ac:dyDescent="0.35"/>
    <row r="51" ht="19.5" customHeight="1" x14ac:dyDescent="0.35"/>
    <row r="52" ht="19.5" customHeight="1" x14ac:dyDescent="0.35"/>
    <row r="53" ht="19.5" customHeight="1" x14ac:dyDescent="0.35"/>
    <row r="54" ht="19.5" customHeight="1" x14ac:dyDescent="0.35"/>
    <row r="55" ht="19.5" customHeight="1" x14ac:dyDescent="0.35"/>
    <row r="56" ht="19.5" customHeight="1" x14ac:dyDescent="0.35"/>
    <row r="57" ht="19.5" customHeight="1" x14ac:dyDescent="0.35"/>
    <row r="58" ht="19.5" customHeight="1" x14ac:dyDescent="0.35"/>
    <row r="59" ht="19.5" customHeight="1" x14ac:dyDescent="0.35"/>
    <row r="60" ht="19.5" customHeight="1" x14ac:dyDescent="0.35"/>
    <row r="61" ht="19.5" customHeight="1" x14ac:dyDescent="0.35"/>
    <row r="62" ht="19.5" customHeight="1" x14ac:dyDescent="0.35"/>
    <row r="63" ht="19.5" customHeight="1" x14ac:dyDescent="0.35"/>
    <row r="64" ht="19.5" customHeight="1" x14ac:dyDescent="0.35"/>
  </sheetData>
  <sheetProtection password="DF04" sheet="1"/>
  <mergeCells count="104">
    <mergeCell ref="A27:L27"/>
    <mergeCell ref="A28:L28"/>
    <mergeCell ref="B29:L29"/>
    <mergeCell ref="B30:L30"/>
    <mergeCell ref="B31:L31"/>
    <mergeCell ref="A32:L32"/>
    <mergeCell ref="B25:C25"/>
    <mergeCell ref="D25:E25"/>
    <mergeCell ref="F25:G25"/>
    <mergeCell ref="H25:I25"/>
    <mergeCell ref="J25:K25"/>
    <mergeCell ref="B26:C26"/>
    <mergeCell ref="D26:E26"/>
    <mergeCell ref="F26:G26"/>
    <mergeCell ref="H26:I26"/>
    <mergeCell ref="J26:K26"/>
    <mergeCell ref="A21:L21"/>
    <mergeCell ref="A22:L22"/>
    <mergeCell ref="B23:C23"/>
    <mergeCell ref="D23:E23"/>
    <mergeCell ref="F23:G23"/>
    <mergeCell ref="H23:I23"/>
    <mergeCell ref="J23:K23"/>
    <mergeCell ref="B24:C24"/>
    <mergeCell ref="D24:E24"/>
    <mergeCell ref="F24:G24"/>
    <mergeCell ref="H24:I24"/>
    <mergeCell ref="J24:K24"/>
    <mergeCell ref="B19:C19"/>
    <mergeCell ref="D19:E19"/>
    <mergeCell ref="F19:G19"/>
    <mergeCell ref="H19:I19"/>
    <mergeCell ref="J19:K19"/>
    <mergeCell ref="B20:C20"/>
    <mergeCell ref="D20:E20"/>
    <mergeCell ref="F20:G20"/>
    <mergeCell ref="H20:I20"/>
    <mergeCell ref="J20:K20"/>
    <mergeCell ref="B17:C17"/>
    <mergeCell ref="D17:E17"/>
    <mergeCell ref="F17:G17"/>
    <mergeCell ref="H17:I17"/>
    <mergeCell ref="J17:K17"/>
    <mergeCell ref="B18:C18"/>
    <mergeCell ref="D18:E18"/>
    <mergeCell ref="F18:G18"/>
    <mergeCell ref="H18:I18"/>
    <mergeCell ref="J18:K18"/>
    <mergeCell ref="B15:C15"/>
    <mergeCell ref="D15:E15"/>
    <mergeCell ref="F15:G15"/>
    <mergeCell ref="H15:I15"/>
    <mergeCell ref="J15:K15"/>
    <mergeCell ref="B16:C16"/>
    <mergeCell ref="D16:E16"/>
    <mergeCell ref="F16:G16"/>
    <mergeCell ref="H16:I16"/>
    <mergeCell ref="J16:K16"/>
    <mergeCell ref="A11:L11"/>
    <mergeCell ref="A12:L12"/>
    <mergeCell ref="B13:C13"/>
    <mergeCell ref="D13:E13"/>
    <mergeCell ref="F13:G13"/>
    <mergeCell ref="H13:I13"/>
    <mergeCell ref="J13:K13"/>
    <mergeCell ref="B14:C14"/>
    <mergeCell ref="D14:E14"/>
    <mergeCell ref="F14:G14"/>
    <mergeCell ref="H14:I14"/>
    <mergeCell ref="J14:K14"/>
    <mergeCell ref="B9:C9"/>
    <mergeCell ref="D9:E9"/>
    <mergeCell ref="F9:G9"/>
    <mergeCell ref="H9:I9"/>
    <mergeCell ref="J9:K9"/>
    <mergeCell ref="B10:C10"/>
    <mergeCell ref="D10:E10"/>
    <mergeCell ref="F10:G10"/>
    <mergeCell ref="H10:I10"/>
    <mergeCell ref="J10:K10"/>
    <mergeCell ref="B6:C6"/>
    <mergeCell ref="D6:E6"/>
    <mergeCell ref="F6:G6"/>
    <mergeCell ref="H6:I6"/>
    <mergeCell ref="J6:K6"/>
    <mergeCell ref="A7:L7"/>
    <mergeCell ref="B8:C8"/>
    <mergeCell ref="D8:E8"/>
    <mergeCell ref="F8:G8"/>
    <mergeCell ref="H8:I8"/>
    <mergeCell ref="J8:K8"/>
    <mergeCell ref="A1:L1"/>
    <mergeCell ref="A2:L2"/>
    <mergeCell ref="A3:L3"/>
    <mergeCell ref="B4:C4"/>
    <mergeCell ref="D4:E4"/>
    <mergeCell ref="F4:G4"/>
    <mergeCell ref="H4:I4"/>
    <mergeCell ref="J4:K4"/>
    <mergeCell ref="B5:C5"/>
    <mergeCell ref="D5:E5"/>
    <mergeCell ref="F5:G5"/>
    <mergeCell ref="H5:I5"/>
    <mergeCell ref="J5:K5"/>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9"/>
  <sheetViews>
    <sheetView showGridLines="0" topLeftCell="A34" zoomScale="90" zoomScaleNormal="90" workbookViewId="0">
      <selection activeCell="B30" sqref="B30"/>
    </sheetView>
  </sheetViews>
  <sheetFormatPr defaultColWidth="8.6328125" defaultRowHeight="14.5" x14ac:dyDescent="0.35"/>
  <cols>
    <col min="1" max="1" width="4" customWidth="1"/>
    <col min="2" max="2" width="20" customWidth="1"/>
    <col min="3" max="3" width="15" customWidth="1"/>
    <col min="4" max="4" width="11" customWidth="1"/>
    <col min="5" max="5" width="9" customWidth="1"/>
    <col min="6" max="6" width="14" customWidth="1"/>
    <col min="7" max="8" width="13" customWidth="1"/>
    <col min="9" max="9" width="11" customWidth="1"/>
    <col min="10" max="10" width="13" customWidth="1"/>
    <col min="11" max="11" width="30" customWidth="1"/>
  </cols>
  <sheetData>
    <row r="1" spans="1:11" ht="39.75" customHeight="1" x14ac:dyDescent="0.35">
      <c r="A1" s="120" t="s">
        <v>101</v>
      </c>
      <c r="B1" s="120"/>
      <c r="C1" s="120"/>
      <c r="D1" s="120"/>
      <c r="E1" s="120"/>
      <c r="F1" s="120"/>
      <c r="G1" s="120"/>
      <c r="H1" s="120"/>
      <c r="I1" s="120"/>
      <c r="J1" s="120"/>
      <c r="K1" s="120"/>
    </row>
    <row r="2" spans="1:11" ht="15.75" customHeight="1" x14ac:dyDescent="0.35">
      <c r="A2" s="121" t="s">
        <v>102</v>
      </c>
      <c r="B2" s="121"/>
      <c r="C2" s="121"/>
      <c r="D2" s="121"/>
      <c r="E2" s="121"/>
      <c r="F2" s="121"/>
      <c r="G2" s="121"/>
      <c r="H2" s="121"/>
      <c r="I2" s="121"/>
      <c r="J2" s="121"/>
      <c r="K2" s="121"/>
    </row>
    <row r="3" spans="1:11" ht="4.5" customHeight="1" x14ac:dyDescent="0.35">
      <c r="A3" s="122"/>
      <c r="B3" s="122"/>
      <c r="C3" s="122"/>
      <c r="D3" s="122"/>
      <c r="E3" s="122"/>
      <c r="F3" s="122"/>
      <c r="G3" s="122"/>
      <c r="H3" s="122"/>
      <c r="I3" s="122"/>
      <c r="J3" s="122"/>
      <c r="K3" s="122"/>
    </row>
    <row r="4" spans="1:11" ht="30" customHeight="1" x14ac:dyDescent="0.35">
      <c r="A4" s="191" t="s">
        <v>103</v>
      </c>
      <c r="B4" s="191"/>
      <c r="C4" s="191"/>
      <c r="D4" s="191"/>
      <c r="E4" s="191"/>
      <c r="F4" s="191"/>
      <c r="G4" s="191"/>
      <c r="H4" s="191"/>
      <c r="I4" s="191"/>
      <c r="J4" s="191"/>
      <c r="K4" s="191"/>
    </row>
    <row r="5" spans="1:11" ht="19.5" customHeight="1" x14ac:dyDescent="0.35">
      <c r="A5" s="192" t="s">
        <v>104</v>
      </c>
      <c r="B5" s="192"/>
      <c r="C5" s="192" t="s">
        <v>105</v>
      </c>
      <c r="D5" s="192"/>
      <c r="E5" s="192" t="s">
        <v>106</v>
      </c>
      <c r="F5" s="192"/>
      <c r="G5" s="192" t="s">
        <v>107</v>
      </c>
      <c r="H5" s="192"/>
      <c r="I5" s="192" t="s">
        <v>108</v>
      </c>
      <c r="J5" s="192"/>
      <c r="K5" s="41" t="s">
        <v>109</v>
      </c>
    </row>
    <row r="6" spans="1:11" ht="21" customHeight="1" x14ac:dyDescent="0.35">
      <c r="A6" s="193">
        <f>COUNTA(B7:B21)</f>
        <v>3</v>
      </c>
      <c r="B6" s="193"/>
      <c r="C6" s="193">
        <f>COUNTIF(J7:J21,"Closed-Won")</f>
        <v>0</v>
      </c>
      <c r="D6" s="193"/>
      <c r="E6" s="194">
        <f>SUMIF(J7:J21,"Closed-Won",G7:G21)</f>
        <v>0</v>
      </c>
      <c r="F6" s="194"/>
      <c r="G6" s="194">
        <f>SUM(G7:G21)</f>
        <v>0</v>
      </c>
      <c r="H6" s="194"/>
      <c r="I6" s="194">
        <f>SUM(H7:H21)</f>
        <v>0</v>
      </c>
      <c r="J6" s="194"/>
      <c r="K6" s="42" t="s">
        <v>110</v>
      </c>
    </row>
    <row r="7" spans="1:11" ht="30" customHeight="1" x14ac:dyDescent="0.35">
      <c r="A7" s="1" t="s">
        <v>11</v>
      </c>
      <c r="B7" s="1" t="s">
        <v>17</v>
      </c>
      <c r="C7" s="1" t="s">
        <v>18</v>
      </c>
      <c r="D7" s="1" t="s">
        <v>21</v>
      </c>
      <c r="E7" s="1" t="s">
        <v>22</v>
      </c>
      <c r="F7" s="43" t="s">
        <v>29</v>
      </c>
      <c r="G7" s="44" t="s">
        <v>32</v>
      </c>
      <c r="H7" s="45" t="s">
        <v>33</v>
      </c>
      <c r="I7" s="2" t="s">
        <v>111</v>
      </c>
      <c r="J7" s="2" t="s">
        <v>112</v>
      </c>
      <c r="K7" s="1" t="s">
        <v>35</v>
      </c>
    </row>
    <row r="8" spans="1:11" ht="21.75" customHeight="1" x14ac:dyDescent="0.35">
      <c r="A8" s="46">
        <f t="shared" ref="A8:A22" si="0">IF($B8="","",ROW()-7)</f>
        <v>1</v>
      </c>
      <c r="B8" s="30" t="s">
        <v>36</v>
      </c>
      <c r="C8" s="47" t="str">
        <f>IF($B8="","",IFERROR(VLOOKUP($B8,'💼 Pipeline'!$B$8:$C$91,2,0),"— not found —"))</f>
        <v>— not found —</v>
      </c>
      <c r="D8" s="48" t="str">
        <f>IF($B8="","",IFERROR(VLOOKUP($B8,'💼 Pipeline'!$B$8:$G$91,6,0),""))</f>
        <v/>
      </c>
      <c r="E8" s="49" t="str">
        <f>IF($B8="","",IFERROR(VLOOKUP($B8,'💼 Pipeline'!$B$8:$H$91,7,0),""))</f>
        <v/>
      </c>
      <c r="F8" s="12" t="str">
        <f>IF($B8="","",IFERROR(VLOOKUP($B8,'💼 Pipeline'!$B$8:$N$91,13,0),""))</f>
        <v/>
      </c>
      <c r="G8" s="50" t="str">
        <f>IF($B8="","",IFERROR(VLOOKUP($B8,'💼 Pipeline'!$B$8:$Q$91,16,0),""))</f>
        <v/>
      </c>
      <c r="H8" s="19" t="str">
        <f>IF($B8="","",IFERROR(VLOOKUP($B8,'💼 Pipeline'!$B$8:$R$91,17,0),""))</f>
        <v/>
      </c>
      <c r="I8" s="32"/>
      <c r="J8" s="51" t="s">
        <v>194</v>
      </c>
      <c r="K8" s="52"/>
    </row>
    <row r="9" spans="1:11" ht="21.75" customHeight="1" x14ac:dyDescent="0.35">
      <c r="A9" s="46">
        <f t="shared" si="0"/>
        <v>2</v>
      </c>
      <c r="B9" s="30" t="s">
        <v>45</v>
      </c>
      <c r="C9" s="47" t="str">
        <f>IF($B9="","",IFERROR(VLOOKUP($B9,'💼 Pipeline'!$B$8:$C$91,2,0),"— not found —"))</f>
        <v>— not found —</v>
      </c>
      <c r="D9" s="48" t="str">
        <f>IF($B9="","",IFERROR(VLOOKUP($B9,'💼 Pipeline'!$B$8:$G$91,6,0),""))</f>
        <v/>
      </c>
      <c r="E9" s="49" t="str">
        <f>IF($B9="","",IFERROR(VLOOKUP($B9,'💼 Pipeline'!$B$8:$H$91,7,0),""))</f>
        <v/>
      </c>
      <c r="F9" s="12" t="str">
        <f>IF($B9="","",IFERROR(VLOOKUP($B9,'💼 Pipeline'!$B$8:$N$91,13,0),""))</f>
        <v/>
      </c>
      <c r="G9" s="50" t="str">
        <f>IF($B9="","",IFERROR(VLOOKUP($B9,'💼 Pipeline'!$B$8:$Q$91,16,0),""))</f>
        <v/>
      </c>
      <c r="H9" s="19" t="str">
        <f>IF($B9="","",IFERROR(VLOOKUP($B9,'💼 Pipeline'!$B$8:$R$91,17,0),""))</f>
        <v/>
      </c>
      <c r="I9" s="32"/>
      <c r="J9" s="51" t="s">
        <v>194</v>
      </c>
      <c r="K9" s="52"/>
    </row>
    <row r="10" spans="1:11" ht="21.75" customHeight="1" x14ac:dyDescent="0.35">
      <c r="A10" s="46" t="str">
        <f t="shared" si="0"/>
        <v/>
      </c>
      <c r="B10" s="30"/>
      <c r="C10" s="47" t="str">
        <f>IF($B10="","",IFERROR(VLOOKUP($B10,'💼 Pipeline'!$B$8:$C$91,2,0),"— not found —"))</f>
        <v/>
      </c>
      <c r="D10" s="48" t="str">
        <f>IF($B10="","",IFERROR(VLOOKUP($B10,'💼 Pipeline'!$B$8:$G$91,6,0),""))</f>
        <v/>
      </c>
      <c r="E10" s="49" t="str">
        <f>IF($B10="","",IFERROR(VLOOKUP($B10,'💼 Pipeline'!$B$8:$H$91,7,0),""))</f>
        <v/>
      </c>
      <c r="F10" s="12" t="str">
        <f>IF($B10="","",IFERROR(VLOOKUP($B10,'💼 Pipeline'!$B$8:$N$91,13,0),""))</f>
        <v/>
      </c>
      <c r="G10" s="50" t="str">
        <f>IF($B10="","",IFERROR(VLOOKUP($B10,'💼 Pipeline'!$B$8:$Q$91,16,0),""))</f>
        <v/>
      </c>
      <c r="H10" s="19" t="str">
        <f>IF($B10="","",IFERROR(VLOOKUP($B10,'💼 Pipeline'!$B$8:$R$91,17,0),""))</f>
        <v/>
      </c>
      <c r="I10" s="32"/>
      <c r="J10" s="51" t="s">
        <v>113</v>
      </c>
      <c r="K10" s="52"/>
    </row>
    <row r="11" spans="1:11" ht="21.75" customHeight="1" x14ac:dyDescent="0.35">
      <c r="A11" s="46" t="str">
        <f t="shared" si="0"/>
        <v/>
      </c>
      <c r="B11" s="30"/>
      <c r="C11" s="47" t="str">
        <f>IF($B11="","",IFERROR(VLOOKUP($B11,'💼 Pipeline'!$B$8:$C$91,2,0),"— not found —"))</f>
        <v/>
      </c>
      <c r="D11" s="48" t="str">
        <f>IF($B11="","",IFERROR(VLOOKUP($B11,'💼 Pipeline'!$B$8:$G$91,6,0),""))</f>
        <v/>
      </c>
      <c r="E11" s="49" t="str">
        <f>IF($B11="","",IFERROR(VLOOKUP($B11,'💼 Pipeline'!$B$8:$H$91,7,0),""))</f>
        <v/>
      </c>
      <c r="F11" s="12" t="str">
        <f>IF($B11="","",IFERROR(VLOOKUP($B11,'💼 Pipeline'!$B$8:$N$91,13,0),""))</f>
        <v/>
      </c>
      <c r="G11" s="50" t="str">
        <f>IF($B11="","",IFERROR(VLOOKUP($B11,'💼 Pipeline'!$B$8:$Q$91,16,0),""))</f>
        <v/>
      </c>
      <c r="H11" s="19" t="str">
        <f>IF($B11="","",IFERROR(VLOOKUP($B11,'💼 Pipeline'!$B$8:$R$91,17,0),""))</f>
        <v/>
      </c>
      <c r="I11" s="32"/>
      <c r="J11" s="51" t="s">
        <v>113</v>
      </c>
      <c r="K11" s="52"/>
    </row>
    <row r="12" spans="1:11" ht="21.75" customHeight="1" x14ac:dyDescent="0.35">
      <c r="A12" s="46" t="str">
        <f t="shared" si="0"/>
        <v/>
      </c>
      <c r="B12" s="30"/>
      <c r="C12" s="47" t="str">
        <f>IF($B12="","",IFERROR(VLOOKUP($B12,'💼 Pipeline'!$B$8:$C$91,2,0),"— not found —"))</f>
        <v/>
      </c>
      <c r="D12" s="48" t="str">
        <f>IF($B12="","",IFERROR(VLOOKUP($B12,'💼 Pipeline'!$B$8:$G$91,6,0),""))</f>
        <v/>
      </c>
      <c r="E12" s="49" t="str">
        <f>IF($B12="","",IFERROR(VLOOKUP($B12,'💼 Pipeline'!$B$8:$H$91,7,0),""))</f>
        <v/>
      </c>
      <c r="F12" s="12" t="str">
        <f>IF($B12="","",IFERROR(VLOOKUP($B12,'💼 Pipeline'!$B$8:$N$91,13,0),""))</f>
        <v/>
      </c>
      <c r="G12" s="50" t="str">
        <f>IF($B12="","",IFERROR(VLOOKUP($B12,'💼 Pipeline'!$B$8:$Q$91,16,0),""))</f>
        <v/>
      </c>
      <c r="H12" s="19" t="str">
        <f>IF($B12="","",IFERROR(VLOOKUP($B12,'💼 Pipeline'!$B$8:$R$91,17,0),""))</f>
        <v/>
      </c>
      <c r="I12" s="32"/>
      <c r="J12" s="51" t="s">
        <v>113</v>
      </c>
      <c r="K12" s="52"/>
    </row>
    <row r="13" spans="1:11" ht="21.75" customHeight="1" x14ac:dyDescent="0.35">
      <c r="A13" s="46" t="str">
        <f t="shared" si="0"/>
        <v/>
      </c>
      <c r="B13" s="30"/>
      <c r="C13" s="47" t="str">
        <f>IF($B13="","",IFERROR(VLOOKUP($B13,'💼 Pipeline'!$B$8:$C$91,2,0),"— not found —"))</f>
        <v/>
      </c>
      <c r="D13" s="48" t="str">
        <f>IF($B13="","",IFERROR(VLOOKUP($B13,'💼 Pipeline'!$B$8:$G$91,6,0),""))</f>
        <v/>
      </c>
      <c r="E13" s="49" t="str">
        <f>IF($B13="","",IFERROR(VLOOKUP($B13,'💼 Pipeline'!$B$8:$H$91,7,0),""))</f>
        <v/>
      </c>
      <c r="F13" s="12" t="str">
        <f>IF($B13="","",IFERROR(VLOOKUP($B13,'💼 Pipeline'!$B$8:$N$91,13,0),""))</f>
        <v/>
      </c>
      <c r="G13" s="50" t="str">
        <f>IF($B13="","",IFERROR(VLOOKUP($B13,'💼 Pipeline'!$B$8:$Q$91,16,0),""))</f>
        <v/>
      </c>
      <c r="H13" s="19" t="str">
        <f>IF($B13="","",IFERROR(VLOOKUP($B13,'💼 Pipeline'!$B$8:$R$91,17,0),""))</f>
        <v/>
      </c>
      <c r="I13" s="32"/>
      <c r="J13" s="51" t="s">
        <v>113</v>
      </c>
      <c r="K13" s="52"/>
    </row>
    <row r="14" spans="1:11" ht="21.75" customHeight="1" x14ac:dyDescent="0.35">
      <c r="A14" s="53" t="str">
        <f t="shared" si="0"/>
        <v/>
      </c>
      <c r="B14" s="30"/>
      <c r="C14" s="47" t="str">
        <f>IF($B14="","",IFERROR(VLOOKUP($B14,'💼 Pipeline'!$B$8:$C$91,2,0),"— not found —"))</f>
        <v/>
      </c>
      <c r="D14" s="48" t="str">
        <f>IF($B14="","",IFERROR(VLOOKUP($B14,'💼 Pipeline'!$B$8:$G$91,6,0),""))</f>
        <v/>
      </c>
      <c r="E14" s="49" t="str">
        <f>IF($B14="","",IFERROR(VLOOKUP($B14,'💼 Pipeline'!$B$8:$H$91,7,0),""))</f>
        <v/>
      </c>
      <c r="F14" s="12" t="str">
        <f>IF($B14="","",IFERROR(VLOOKUP($B14,'💼 Pipeline'!$B$8:$N$91,13,0),""))</f>
        <v/>
      </c>
      <c r="G14" s="50" t="str">
        <f>IF($B14="","",IFERROR(VLOOKUP($B14,'💼 Pipeline'!$B$8:$Q$91,16,0),""))</f>
        <v/>
      </c>
      <c r="H14" s="19" t="str">
        <f>IF($B14="","",IFERROR(VLOOKUP($B14,'💼 Pipeline'!$B$8:$R$91,17,0),""))</f>
        <v/>
      </c>
      <c r="I14" s="32"/>
      <c r="J14" s="54"/>
      <c r="K14" s="55"/>
    </row>
    <row r="15" spans="1:11" ht="21.75" customHeight="1" x14ac:dyDescent="0.35">
      <c r="A15" s="53" t="str">
        <f t="shared" si="0"/>
        <v/>
      </c>
      <c r="B15" s="30"/>
      <c r="C15" s="47" t="str">
        <f>IF($B15="","",IFERROR(VLOOKUP($B15,'💼 Pipeline'!$B$8:$C$91,2,0),"— not found —"))</f>
        <v/>
      </c>
      <c r="D15" s="48" t="str">
        <f>IF($B15="","",IFERROR(VLOOKUP($B15,'💼 Pipeline'!$B$8:$G$91,6,0),""))</f>
        <v/>
      </c>
      <c r="E15" s="49" t="str">
        <f>IF($B15="","",IFERROR(VLOOKUP($B15,'💼 Pipeline'!$B$8:$H$91,7,0),""))</f>
        <v/>
      </c>
      <c r="F15" s="12" t="str">
        <f>IF($B15="","",IFERROR(VLOOKUP($B15,'💼 Pipeline'!$B$8:$N$91,13,0),""))</f>
        <v/>
      </c>
      <c r="G15" s="50" t="str">
        <f>IF($B15="","",IFERROR(VLOOKUP($B15,'💼 Pipeline'!$B$8:$Q$91,16,0),""))</f>
        <v/>
      </c>
      <c r="H15" s="19" t="str">
        <f>IF($B15="","",IFERROR(VLOOKUP($B15,'💼 Pipeline'!$B$8:$R$91,17,0),""))</f>
        <v/>
      </c>
      <c r="I15" s="32"/>
      <c r="J15" s="54"/>
      <c r="K15" s="55"/>
    </row>
    <row r="16" spans="1:11" ht="21.75" customHeight="1" x14ac:dyDescent="0.35">
      <c r="A16" s="53" t="str">
        <f t="shared" si="0"/>
        <v/>
      </c>
      <c r="B16" s="30"/>
      <c r="C16" s="47" t="str">
        <f>IF($B16="","",IFERROR(VLOOKUP($B16,'💼 Pipeline'!$B$8:$C$91,2,0),"— not found —"))</f>
        <v/>
      </c>
      <c r="D16" s="48" t="str">
        <f>IF($B16="","",IFERROR(VLOOKUP($B16,'💼 Pipeline'!$B$8:$G$91,6,0),""))</f>
        <v/>
      </c>
      <c r="E16" s="49" t="str">
        <f>IF($B16="","",IFERROR(VLOOKUP($B16,'💼 Pipeline'!$B$8:$H$91,7,0),""))</f>
        <v/>
      </c>
      <c r="F16" s="12" t="str">
        <f>IF($B16="","",IFERROR(VLOOKUP($B16,'💼 Pipeline'!$B$8:$N$91,13,0),""))</f>
        <v/>
      </c>
      <c r="G16" s="50" t="str">
        <f>IF($B16="","",IFERROR(VLOOKUP($B16,'💼 Pipeline'!$B$8:$Q$91,16,0),""))</f>
        <v/>
      </c>
      <c r="H16" s="19" t="str">
        <f>IF($B16="","",IFERROR(VLOOKUP($B16,'💼 Pipeline'!$B$8:$R$91,17,0),""))</f>
        <v/>
      </c>
      <c r="I16" s="32"/>
      <c r="J16" s="54"/>
      <c r="K16" s="55"/>
    </row>
    <row r="17" spans="1:11" ht="21.75" customHeight="1" x14ac:dyDescent="0.35">
      <c r="A17" s="53" t="str">
        <f t="shared" si="0"/>
        <v/>
      </c>
      <c r="B17" s="30"/>
      <c r="C17" s="47" t="str">
        <f>IF($B17="","",IFERROR(VLOOKUP($B17,'💼 Pipeline'!$B$8:$C$91,2,0),"— not found —"))</f>
        <v/>
      </c>
      <c r="D17" s="48" t="str">
        <f>IF($B17="","",IFERROR(VLOOKUP($B17,'💼 Pipeline'!$B$8:$G$91,6,0),""))</f>
        <v/>
      </c>
      <c r="E17" s="49" t="str">
        <f>IF($B17="","",IFERROR(VLOOKUP($B17,'💼 Pipeline'!$B$8:$H$91,7,0),""))</f>
        <v/>
      </c>
      <c r="F17" s="12" t="str">
        <f>IF($B17="","",IFERROR(VLOOKUP($B17,'💼 Pipeline'!$B$8:$N$91,13,0),""))</f>
        <v/>
      </c>
      <c r="G17" s="50" t="str">
        <f>IF($B17="","",IFERROR(VLOOKUP($B17,'💼 Pipeline'!$B$8:$Q$91,16,0),""))</f>
        <v/>
      </c>
      <c r="H17" s="19" t="str">
        <f>IF($B17="","",IFERROR(VLOOKUP($B17,'💼 Pipeline'!$B$8:$R$91,17,0),""))</f>
        <v/>
      </c>
      <c r="I17" s="32"/>
      <c r="J17" s="54"/>
      <c r="K17" s="55"/>
    </row>
    <row r="18" spans="1:11" ht="21.75" customHeight="1" x14ac:dyDescent="0.35">
      <c r="A18" s="53" t="str">
        <f t="shared" si="0"/>
        <v/>
      </c>
      <c r="B18" s="30"/>
      <c r="C18" s="47" t="str">
        <f>IF($B18="","",IFERROR(VLOOKUP($B18,'💼 Pipeline'!$B$8:$C$91,2,0),"— not found —"))</f>
        <v/>
      </c>
      <c r="D18" s="48" t="str">
        <f>IF($B18="","",IFERROR(VLOOKUP($B18,'💼 Pipeline'!$B$8:$G$91,6,0),""))</f>
        <v/>
      </c>
      <c r="E18" s="49" t="str">
        <f>IF($B18="","",IFERROR(VLOOKUP($B18,'💼 Pipeline'!$B$8:$H$91,7,0),""))</f>
        <v/>
      </c>
      <c r="F18" s="12" t="str">
        <f>IF($B18="","",IFERROR(VLOOKUP($B18,'💼 Pipeline'!$B$8:$N$91,13,0),""))</f>
        <v/>
      </c>
      <c r="G18" s="50" t="str">
        <f>IF($B18="","",IFERROR(VLOOKUP($B18,'💼 Pipeline'!$B$8:$Q$91,16,0),""))</f>
        <v/>
      </c>
      <c r="H18" s="19" t="str">
        <f>IF($B18="","",IFERROR(VLOOKUP($B18,'💼 Pipeline'!$B$8:$R$91,17,0),""))</f>
        <v/>
      </c>
      <c r="I18" s="32"/>
      <c r="J18" s="54"/>
      <c r="K18" s="55"/>
    </row>
    <row r="19" spans="1:11" ht="21.75" customHeight="1" x14ac:dyDescent="0.35">
      <c r="A19" s="53" t="str">
        <f t="shared" si="0"/>
        <v/>
      </c>
      <c r="B19" s="30"/>
      <c r="C19" s="47" t="str">
        <f>IF($B19="","",IFERROR(VLOOKUP($B19,'💼 Pipeline'!$B$8:$C$91,2,0),"— not found —"))</f>
        <v/>
      </c>
      <c r="D19" s="48" t="str">
        <f>IF($B19="","",IFERROR(VLOOKUP($B19,'💼 Pipeline'!$B$8:$G$91,6,0),""))</f>
        <v/>
      </c>
      <c r="E19" s="49" t="str">
        <f>IF($B19="","",IFERROR(VLOOKUP($B19,'💼 Pipeline'!$B$8:$H$91,7,0),""))</f>
        <v/>
      </c>
      <c r="F19" s="12" t="str">
        <f>IF($B19="","",IFERROR(VLOOKUP($B19,'💼 Pipeline'!$B$8:$N$91,13,0),""))</f>
        <v/>
      </c>
      <c r="G19" s="50" t="str">
        <f>IF($B19="","",IFERROR(VLOOKUP($B19,'💼 Pipeline'!$B$8:$Q$91,16,0),""))</f>
        <v/>
      </c>
      <c r="H19" s="19" t="str">
        <f>IF($B19="","",IFERROR(VLOOKUP($B19,'💼 Pipeline'!$B$8:$R$91,17,0),""))</f>
        <v/>
      </c>
      <c r="I19" s="32"/>
      <c r="J19" s="54"/>
      <c r="K19" s="55"/>
    </row>
    <row r="20" spans="1:11" ht="21.75" customHeight="1" x14ac:dyDescent="0.35">
      <c r="A20" s="53" t="str">
        <f t="shared" si="0"/>
        <v/>
      </c>
      <c r="B20" s="30"/>
      <c r="C20" s="47" t="str">
        <f>IF($B20="","",IFERROR(VLOOKUP($B20,'💼 Pipeline'!$B$8:$C$91,2,0),"— not found —"))</f>
        <v/>
      </c>
      <c r="D20" s="48" t="str">
        <f>IF($B20="","",IFERROR(VLOOKUP($B20,'💼 Pipeline'!$B$8:$G$91,6,0),""))</f>
        <v/>
      </c>
      <c r="E20" s="49" t="str">
        <f>IF($B20="","",IFERROR(VLOOKUP($B20,'💼 Pipeline'!$B$8:$H$91,7,0),""))</f>
        <v/>
      </c>
      <c r="F20" s="12" t="str">
        <f>IF($B20="","",IFERROR(VLOOKUP($B20,'💼 Pipeline'!$B$8:$N$91,13,0),""))</f>
        <v/>
      </c>
      <c r="G20" s="50" t="str">
        <f>IF($B20="","",IFERROR(VLOOKUP($B20,'💼 Pipeline'!$B$8:$Q$91,16,0),""))</f>
        <v/>
      </c>
      <c r="H20" s="19" t="str">
        <f>IF($B20="","",IFERROR(VLOOKUP($B20,'💼 Pipeline'!$B$8:$R$91,17,0),""))</f>
        <v/>
      </c>
      <c r="I20" s="32"/>
      <c r="J20" s="54"/>
      <c r="K20" s="55"/>
    </row>
    <row r="21" spans="1:11" ht="21.75" customHeight="1" x14ac:dyDescent="0.35">
      <c r="A21" s="53" t="str">
        <f t="shared" si="0"/>
        <v/>
      </c>
      <c r="B21" s="30"/>
      <c r="C21" s="47" t="str">
        <f>IF($B21="","",IFERROR(VLOOKUP($B21,'💼 Pipeline'!$B$8:$C$91,2,0),"— not found —"))</f>
        <v/>
      </c>
      <c r="D21" s="48" t="str">
        <f>IF($B21="","",IFERROR(VLOOKUP($B21,'💼 Pipeline'!$B$8:$G$91,6,0),""))</f>
        <v/>
      </c>
      <c r="E21" s="49" t="str">
        <f>IF($B21="","",IFERROR(VLOOKUP($B21,'💼 Pipeline'!$B$8:$H$91,7,0),""))</f>
        <v/>
      </c>
      <c r="F21" s="12" t="str">
        <f>IF($B21="","",IFERROR(VLOOKUP($B21,'💼 Pipeline'!$B$8:$N$91,13,0),""))</f>
        <v/>
      </c>
      <c r="G21" s="50" t="str">
        <f>IF($B21="","",IFERROR(VLOOKUP($B21,'💼 Pipeline'!$B$8:$Q$91,16,0),""))</f>
        <v/>
      </c>
      <c r="H21" s="19" t="str">
        <f>IF($B21="","",IFERROR(VLOOKUP($B21,'💼 Pipeline'!$B$8:$R$91,17,0),""))</f>
        <v/>
      </c>
      <c r="I21" s="32"/>
      <c r="J21" s="54"/>
      <c r="K21" s="55"/>
    </row>
    <row r="22" spans="1:11" ht="21.75" customHeight="1" x14ac:dyDescent="0.35">
      <c r="A22" s="53" t="str">
        <f t="shared" si="0"/>
        <v/>
      </c>
      <c r="B22" s="30"/>
      <c r="C22" s="47" t="str">
        <f>IF($B22="","",IFERROR(VLOOKUP($B22,'💼 Pipeline'!$B$8:$C$91,2,0),"— not found —"))</f>
        <v/>
      </c>
      <c r="D22" s="48" t="str">
        <f>IF($B22="","",IFERROR(VLOOKUP($B22,'💼 Pipeline'!$B$8:$G$91,6,0),""))</f>
        <v/>
      </c>
      <c r="E22" s="49" t="str">
        <f>IF($B22="","",IFERROR(VLOOKUP($B22,'💼 Pipeline'!$B$8:$H$91,7,0),""))</f>
        <v/>
      </c>
      <c r="F22" s="12" t="str">
        <f>IF($B22="","",IFERROR(VLOOKUP($B22,'💼 Pipeline'!$B$8:$N$91,13,0),""))</f>
        <v/>
      </c>
      <c r="G22" s="50" t="str">
        <f>IF($B22="","",IFERROR(VLOOKUP($B22,'💼 Pipeline'!$B$8:$Q$91,16,0),""))</f>
        <v/>
      </c>
      <c r="H22" s="19" t="str">
        <f>IF($B22="","",IFERROR(VLOOKUP($B22,'💼 Pipeline'!$B$8:$R$91,17,0),""))</f>
        <v/>
      </c>
      <c r="I22" s="32"/>
      <c r="J22" s="54"/>
      <c r="K22" s="55"/>
    </row>
    <row r="23" spans="1:11" ht="25.5" customHeight="1" x14ac:dyDescent="0.35">
      <c r="A23" s="195" t="s">
        <v>114</v>
      </c>
      <c r="B23" s="195"/>
      <c r="C23" s="195"/>
      <c r="D23" s="195"/>
      <c r="E23" s="195"/>
      <c r="F23" s="195"/>
      <c r="G23" s="195"/>
      <c r="H23" s="195"/>
      <c r="I23" s="195"/>
      <c r="J23" s="195"/>
      <c r="K23" s="195"/>
    </row>
    <row r="24" spans="1:11" ht="9.75" customHeight="1" x14ac:dyDescent="0.35">
      <c r="A24" s="196"/>
      <c r="B24" s="196"/>
      <c r="C24" s="196"/>
      <c r="D24" s="196"/>
      <c r="E24" s="196"/>
      <c r="F24" s="196"/>
      <c r="G24" s="196"/>
      <c r="H24" s="196"/>
      <c r="I24" s="196"/>
      <c r="J24" s="196"/>
      <c r="K24" s="196"/>
    </row>
    <row r="25" spans="1:11" ht="30" customHeight="1" x14ac:dyDescent="0.35">
      <c r="A25" s="191" t="s">
        <v>115</v>
      </c>
      <c r="B25" s="191"/>
      <c r="C25" s="191"/>
      <c r="D25" s="191"/>
      <c r="E25" s="191"/>
      <c r="F25" s="191"/>
      <c r="G25" s="191"/>
      <c r="H25" s="191"/>
      <c r="I25" s="191"/>
      <c r="J25" s="191"/>
      <c r="K25" s="191"/>
    </row>
    <row r="26" spans="1:11" ht="19.5" customHeight="1" x14ac:dyDescent="0.35">
      <c r="A26" s="192" t="s">
        <v>104</v>
      </c>
      <c r="B26" s="192"/>
      <c r="C26" s="192" t="s">
        <v>105</v>
      </c>
      <c r="D26" s="192"/>
      <c r="E26" s="192" t="s">
        <v>106</v>
      </c>
      <c r="F26" s="192"/>
      <c r="G26" s="192" t="s">
        <v>107</v>
      </c>
      <c r="H26" s="192"/>
      <c r="I26" s="192" t="s">
        <v>108</v>
      </c>
      <c r="J26" s="192"/>
      <c r="K26" s="41" t="s">
        <v>109</v>
      </c>
    </row>
    <row r="27" spans="1:11" ht="21" customHeight="1" x14ac:dyDescent="0.35">
      <c r="A27" s="193">
        <f>COUNTA(B28:B42)</f>
        <v>2</v>
      </c>
      <c r="B27" s="193"/>
      <c r="C27" s="193">
        <f>COUNTIF(J28:J42,"Closed-Won")</f>
        <v>0</v>
      </c>
      <c r="D27" s="193"/>
      <c r="E27" s="194">
        <f>SUMIF(J28:J42,"Closed-Won",G28:G42)</f>
        <v>0</v>
      </c>
      <c r="F27" s="194"/>
      <c r="G27" s="194">
        <f>SUM(G28:G42)</f>
        <v>0</v>
      </c>
      <c r="H27" s="194"/>
      <c r="I27" s="194">
        <f>SUM(H28:H42)</f>
        <v>0</v>
      </c>
      <c r="J27" s="194"/>
      <c r="K27" s="42" t="s">
        <v>110</v>
      </c>
    </row>
    <row r="28" spans="1:11" ht="30" customHeight="1" x14ac:dyDescent="0.35">
      <c r="A28" s="1" t="s">
        <v>11</v>
      </c>
      <c r="B28" s="1" t="s">
        <v>17</v>
      </c>
      <c r="C28" s="1" t="s">
        <v>18</v>
      </c>
      <c r="D28" s="1" t="s">
        <v>21</v>
      </c>
      <c r="E28" s="1" t="s">
        <v>22</v>
      </c>
      <c r="F28" s="43" t="s">
        <v>29</v>
      </c>
      <c r="G28" s="44" t="s">
        <v>32</v>
      </c>
      <c r="H28" s="45" t="s">
        <v>33</v>
      </c>
      <c r="I28" s="2" t="s">
        <v>111</v>
      </c>
      <c r="J28" s="2" t="s">
        <v>112</v>
      </c>
      <c r="K28" s="1" t="s">
        <v>35</v>
      </c>
    </row>
    <row r="29" spans="1:11" ht="21.75" customHeight="1" x14ac:dyDescent="0.35">
      <c r="A29" s="53">
        <f t="shared" ref="A29:A43" si="1">IF($B29="","",ROW()-28)</f>
        <v>1</v>
      </c>
      <c r="B29" s="30" t="s">
        <v>195</v>
      </c>
      <c r="C29" s="47" t="str">
        <f>IF($B29="","",IFERROR(VLOOKUP($B29,'💼 Pipeline'!$B$8:$C$91,2,0),"— not found —"))</f>
        <v>— not found —</v>
      </c>
      <c r="D29" s="48" t="str">
        <f>IF($B29="","",IFERROR(VLOOKUP($B29,'💼 Pipeline'!$B$8:$G$91,6,0),""))</f>
        <v/>
      </c>
      <c r="E29" s="49" t="str">
        <f>IF($B29="","",IFERROR(VLOOKUP($B29,'💼 Pipeline'!$B$8:$H$91,7,0),""))</f>
        <v/>
      </c>
      <c r="F29" s="12" t="str">
        <f>IF($B29="","",IFERROR(VLOOKUP($B29,'💼 Pipeline'!$B$8:$N$91,13,0),""))</f>
        <v/>
      </c>
      <c r="G29" s="50" t="str">
        <f>IF($B29="","",IFERROR(VLOOKUP($B29,'💼 Pipeline'!$B$8:$Q$91,16,0),""))</f>
        <v/>
      </c>
      <c r="H29" s="19" t="str">
        <f>IF($B29="","",IFERROR(VLOOKUP($B29,'💼 Pipeline'!$B$8:$R$91,17,0),""))</f>
        <v/>
      </c>
      <c r="I29" s="32"/>
      <c r="J29" s="54"/>
      <c r="K29" s="55"/>
    </row>
    <row r="30" spans="1:11" ht="21.75" customHeight="1" x14ac:dyDescent="0.35">
      <c r="A30" s="53" t="str">
        <f t="shared" si="1"/>
        <v/>
      </c>
      <c r="B30" s="30"/>
      <c r="C30" s="47" t="str">
        <f>IF($B30="","",IFERROR(VLOOKUP($B30,'💼 Pipeline'!$B$8:$C$91,2,0),"— not found —"))</f>
        <v/>
      </c>
      <c r="D30" s="48" t="str">
        <f>IF($B30="","",IFERROR(VLOOKUP($B30,'💼 Pipeline'!$B$8:$G$91,6,0),""))</f>
        <v/>
      </c>
      <c r="E30" s="49" t="str">
        <f>IF($B30="","",IFERROR(VLOOKUP($B30,'💼 Pipeline'!$B$8:$H$91,7,0),""))</f>
        <v/>
      </c>
      <c r="F30" s="12" t="str">
        <f>IF($B30="","",IFERROR(VLOOKUP($B30,'💼 Pipeline'!$B$8:$N$91,13,0),""))</f>
        <v/>
      </c>
      <c r="G30" s="50" t="str">
        <f>IF($B30="","",IFERROR(VLOOKUP($B30,'💼 Pipeline'!$B$8:$Q$91,16,0),""))</f>
        <v/>
      </c>
      <c r="H30" s="19" t="str">
        <f>IF($B30="","",IFERROR(VLOOKUP($B30,'💼 Pipeline'!$B$8:$R$91,17,0),""))</f>
        <v/>
      </c>
      <c r="I30" s="32"/>
      <c r="J30" s="54"/>
      <c r="K30" s="55"/>
    </row>
    <row r="31" spans="1:11" ht="21.75" customHeight="1" x14ac:dyDescent="0.35">
      <c r="A31" s="53" t="str">
        <f t="shared" si="1"/>
        <v/>
      </c>
      <c r="B31" s="30"/>
      <c r="C31" s="47" t="str">
        <f>IF($B31="","",IFERROR(VLOOKUP($B31,'💼 Pipeline'!$B$8:$C$91,2,0),"— not found —"))</f>
        <v/>
      </c>
      <c r="D31" s="48" t="str">
        <f>IF($B31="","",IFERROR(VLOOKUP($B31,'💼 Pipeline'!$B$8:$G$91,6,0),""))</f>
        <v/>
      </c>
      <c r="E31" s="49" t="str">
        <f>IF($B31="","",IFERROR(VLOOKUP($B31,'💼 Pipeline'!$B$8:$H$91,7,0),""))</f>
        <v/>
      </c>
      <c r="F31" s="12" t="str">
        <f>IF($B31="","",IFERROR(VLOOKUP($B31,'💼 Pipeline'!$B$8:$N$91,13,0),""))</f>
        <v/>
      </c>
      <c r="G31" s="50" t="str">
        <f>IF($B31="","",IFERROR(VLOOKUP($B31,'💼 Pipeline'!$B$8:$Q$91,16,0),""))</f>
        <v/>
      </c>
      <c r="H31" s="19" t="str">
        <f>IF($B31="","",IFERROR(VLOOKUP($B31,'💼 Pipeline'!$B$8:$R$91,17,0),""))</f>
        <v/>
      </c>
      <c r="I31" s="32"/>
      <c r="J31" s="54"/>
      <c r="K31" s="55"/>
    </row>
    <row r="32" spans="1:11" ht="21.75" customHeight="1" x14ac:dyDescent="0.35">
      <c r="A32" s="53" t="str">
        <f t="shared" si="1"/>
        <v/>
      </c>
      <c r="B32" s="30"/>
      <c r="C32" s="47" t="str">
        <f>IF($B32="","",IFERROR(VLOOKUP($B32,'💼 Pipeline'!$B$8:$C$91,2,0),"— not found —"))</f>
        <v/>
      </c>
      <c r="D32" s="48" t="str">
        <f>IF($B32="","",IFERROR(VLOOKUP($B32,'💼 Pipeline'!$B$8:$G$91,6,0),""))</f>
        <v/>
      </c>
      <c r="E32" s="49" t="str">
        <f>IF($B32="","",IFERROR(VLOOKUP($B32,'💼 Pipeline'!$B$8:$H$91,7,0),""))</f>
        <v/>
      </c>
      <c r="F32" s="12" t="str">
        <f>IF($B32="","",IFERROR(VLOOKUP($B32,'💼 Pipeline'!$B$8:$N$91,13,0),""))</f>
        <v/>
      </c>
      <c r="G32" s="50" t="str">
        <f>IF($B32="","",IFERROR(VLOOKUP($B32,'💼 Pipeline'!$B$8:$Q$91,16,0),""))</f>
        <v/>
      </c>
      <c r="H32" s="19" t="str">
        <f>IF($B32="","",IFERROR(VLOOKUP($B32,'💼 Pipeline'!$B$8:$R$91,17,0),""))</f>
        <v/>
      </c>
      <c r="I32" s="32"/>
      <c r="J32" s="54"/>
      <c r="K32" s="55"/>
    </row>
    <row r="33" spans="1:11" ht="21.75" customHeight="1" x14ac:dyDescent="0.35">
      <c r="A33" s="53" t="str">
        <f t="shared" si="1"/>
        <v/>
      </c>
      <c r="B33" s="30"/>
      <c r="C33" s="47" t="str">
        <f>IF($B33="","",IFERROR(VLOOKUP($B33,'💼 Pipeline'!$B$8:$C$91,2,0),"— not found —"))</f>
        <v/>
      </c>
      <c r="D33" s="48" t="str">
        <f>IF($B33="","",IFERROR(VLOOKUP($B33,'💼 Pipeline'!$B$8:$G$91,6,0),""))</f>
        <v/>
      </c>
      <c r="E33" s="49" t="str">
        <f>IF($B33="","",IFERROR(VLOOKUP($B33,'💼 Pipeline'!$B$8:$H$91,7,0),""))</f>
        <v/>
      </c>
      <c r="F33" s="12" t="str">
        <f>IF($B33="","",IFERROR(VLOOKUP($B33,'💼 Pipeline'!$B$8:$N$91,13,0),""))</f>
        <v/>
      </c>
      <c r="G33" s="50" t="str">
        <f>IF($B33="","",IFERROR(VLOOKUP($B33,'💼 Pipeline'!$B$8:$Q$91,16,0),""))</f>
        <v/>
      </c>
      <c r="H33" s="19" t="str">
        <f>IF($B33="","",IFERROR(VLOOKUP($B33,'💼 Pipeline'!$B$8:$R$91,17,0),""))</f>
        <v/>
      </c>
      <c r="I33" s="32"/>
      <c r="J33" s="54"/>
      <c r="K33" s="55"/>
    </row>
    <row r="34" spans="1:11" ht="21.75" customHeight="1" x14ac:dyDescent="0.35">
      <c r="A34" s="53" t="str">
        <f t="shared" si="1"/>
        <v/>
      </c>
      <c r="B34" s="30"/>
      <c r="C34" s="47" t="str">
        <f>IF($B34="","",IFERROR(VLOOKUP($B34,'💼 Pipeline'!$B$8:$C$91,2,0),"— not found —"))</f>
        <v/>
      </c>
      <c r="D34" s="48" t="str">
        <f>IF($B34="","",IFERROR(VLOOKUP($B34,'💼 Pipeline'!$B$8:$G$91,6,0),""))</f>
        <v/>
      </c>
      <c r="E34" s="49" t="str">
        <f>IF($B34="","",IFERROR(VLOOKUP($B34,'💼 Pipeline'!$B$8:$H$91,7,0),""))</f>
        <v/>
      </c>
      <c r="F34" s="12" t="str">
        <f>IF($B34="","",IFERROR(VLOOKUP($B34,'💼 Pipeline'!$B$8:$N$91,13,0),""))</f>
        <v/>
      </c>
      <c r="G34" s="50" t="str">
        <f>IF($B34="","",IFERROR(VLOOKUP($B34,'💼 Pipeline'!$B$8:$Q$91,16,0),""))</f>
        <v/>
      </c>
      <c r="H34" s="19" t="str">
        <f>IF($B34="","",IFERROR(VLOOKUP($B34,'💼 Pipeline'!$B$8:$R$91,17,0),""))</f>
        <v/>
      </c>
      <c r="I34" s="32"/>
      <c r="J34" s="54"/>
      <c r="K34" s="55"/>
    </row>
    <row r="35" spans="1:11" ht="21.75" customHeight="1" x14ac:dyDescent="0.35">
      <c r="A35" s="53" t="str">
        <f t="shared" si="1"/>
        <v/>
      </c>
      <c r="B35" s="30"/>
      <c r="C35" s="47" t="str">
        <f>IF($B35="","",IFERROR(VLOOKUP($B35,'💼 Pipeline'!$B$8:$C$91,2,0),"— not found —"))</f>
        <v/>
      </c>
      <c r="D35" s="48" t="str">
        <f>IF($B35="","",IFERROR(VLOOKUP($B35,'💼 Pipeline'!$B$8:$G$91,6,0),""))</f>
        <v/>
      </c>
      <c r="E35" s="49" t="str">
        <f>IF($B35="","",IFERROR(VLOOKUP($B35,'💼 Pipeline'!$B$8:$H$91,7,0),""))</f>
        <v/>
      </c>
      <c r="F35" s="12" t="str">
        <f>IF($B35="","",IFERROR(VLOOKUP($B35,'💼 Pipeline'!$B$8:$N$91,13,0),""))</f>
        <v/>
      </c>
      <c r="G35" s="50" t="str">
        <f>IF($B35="","",IFERROR(VLOOKUP($B35,'💼 Pipeline'!$B$8:$Q$91,16,0),""))</f>
        <v/>
      </c>
      <c r="H35" s="19" t="str">
        <f>IF($B35="","",IFERROR(VLOOKUP($B35,'💼 Pipeline'!$B$8:$R$91,17,0),""))</f>
        <v/>
      </c>
      <c r="I35" s="32"/>
      <c r="J35" s="54"/>
      <c r="K35" s="55"/>
    </row>
    <row r="36" spans="1:11" ht="21.75" customHeight="1" x14ac:dyDescent="0.35">
      <c r="A36" s="53" t="str">
        <f t="shared" si="1"/>
        <v/>
      </c>
      <c r="B36" s="30"/>
      <c r="C36" s="47" t="str">
        <f>IF($B36="","",IFERROR(VLOOKUP($B36,'💼 Pipeline'!$B$8:$C$91,2,0),"— not found —"))</f>
        <v/>
      </c>
      <c r="D36" s="48" t="str">
        <f>IF($B36="","",IFERROR(VLOOKUP($B36,'💼 Pipeline'!$B$8:$G$91,6,0),""))</f>
        <v/>
      </c>
      <c r="E36" s="49" t="str">
        <f>IF($B36="","",IFERROR(VLOOKUP($B36,'💼 Pipeline'!$B$8:$H$91,7,0),""))</f>
        <v/>
      </c>
      <c r="F36" s="12" t="str">
        <f>IF($B36="","",IFERROR(VLOOKUP($B36,'💼 Pipeline'!$B$8:$N$91,13,0),""))</f>
        <v/>
      </c>
      <c r="G36" s="50" t="str">
        <f>IF($B36="","",IFERROR(VLOOKUP($B36,'💼 Pipeline'!$B$8:$Q$91,16,0),""))</f>
        <v/>
      </c>
      <c r="H36" s="19" t="str">
        <f>IF($B36="","",IFERROR(VLOOKUP($B36,'💼 Pipeline'!$B$8:$R$91,17,0),""))</f>
        <v/>
      </c>
      <c r="I36" s="32"/>
      <c r="J36" s="54"/>
      <c r="K36" s="55"/>
    </row>
    <row r="37" spans="1:11" ht="21.75" customHeight="1" x14ac:dyDescent="0.35">
      <c r="A37" s="53" t="str">
        <f t="shared" si="1"/>
        <v/>
      </c>
      <c r="B37" s="30"/>
      <c r="C37" s="47" t="str">
        <f>IF($B37="","",IFERROR(VLOOKUP($B37,'💼 Pipeline'!$B$8:$C$91,2,0),"— not found —"))</f>
        <v/>
      </c>
      <c r="D37" s="48" t="str">
        <f>IF($B37="","",IFERROR(VLOOKUP($B37,'💼 Pipeline'!$B$8:$G$91,6,0),""))</f>
        <v/>
      </c>
      <c r="E37" s="49" t="str">
        <f>IF($B37="","",IFERROR(VLOOKUP($B37,'💼 Pipeline'!$B$8:$H$91,7,0),""))</f>
        <v/>
      </c>
      <c r="F37" s="12" t="str">
        <f>IF($B37="","",IFERROR(VLOOKUP($B37,'💼 Pipeline'!$B$8:$N$91,13,0),""))</f>
        <v/>
      </c>
      <c r="G37" s="50" t="str">
        <f>IF($B37="","",IFERROR(VLOOKUP($B37,'💼 Pipeline'!$B$8:$Q$91,16,0),""))</f>
        <v/>
      </c>
      <c r="H37" s="19" t="str">
        <f>IF($B37="","",IFERROR(VLOOKUP($B37,'💼 Pipeline'!$B$8:$R$91,17,0),""))</f>
        <v/>
      </c>
      <c r="I37" s="32"/>
      <c r="J37" s="54"/>
      <c r="K37" s="55"/>
    </row>
    <row r="38" spans="1:11" ht="21.75" customHeight="1" x14ac:dyDescent="0.35">
      <c r="A38" s="53" t="str">
        <f t="shared" si="1"/>
        <v/>
      </c>
      <c r="B38" s="30"/>
      <c r="C38" s="47" t="str">
        <f>IF($B38="","",IFERROR(VLOOKUP($B38,'💼 Pipeline'!$B$8:$C$91,2,0),"— not found —"))</f>
        <v/>
      </c>
      <c r="D38" s="48" t="str">
        <f>IF($B38="","",IFERROR(VLOOKUP($B38,'💼 Pipeline'!$B$8:$G$91,6,0),""))</f>
        <v/>
      </c>
      <c r="E38" s="49" t="str">
        <f>IF($B38="","",IFERROR(VLOOKUP($B38,'💼 Pipeline'!$B$8:$H$91,7,0),""))</f>
        <v/>
      </c>
      <c r="F38" s="12" t="str">
        <f>IF($B38="","",IFERROR(VLOOKUP($B38,'💼 Pipeline'!$B$8:$N$91,13,0),""))</f>
        <v/>
      </c>
      <c r="G38" s="50" t="str">
        <f>IF($B38="","",IFERROR(VLOOKUP($B38,'💼 Pipeline'!$B$8:$Q$91,16,0),""))</f>
        <v/>
      </c>
      <c r="H38" s="19" t="str">
        <f>IF($B38="","",IFERROR(VLOOKUP($B38,'💼 Pipeline'!$B$8:$R$91,17,0),""))</f>
        <v/>
      </c>
      <c r="I38" s="32"/>
      <c r="J38" s="54"/>
      <c r="K38" s="55"/>
    </row>
    <row r="39" spans="1:11" ht="21.75" customHeight="1" x14ac:dyDescent="0.35">
      <c r="A39" s="53" t="str">
        <f t="shared" si="1"/>
        <v/>
      </c>
      <c r="B39" s="30"/>
      <c r="C39" s="47" t="str">
        <f>IF($B39="","",IFERROR(VLOOKUP($B39,'💼 Pipeline'!$B$8:$C$91,2,0),"— not found —"))</f>
        <v/>
      </c>
      <c r="D39" s="48" t="str">
        <f>IF($B39="","",IFERROR(VLOOKUP($B39,'💼 Pipeline'!$B$8:$G$91,6,0),""))</f>
        <v/>
      </c>
      <c r="E39" s="49" t="str">
        <f>IF($B39="","",IFERROR(VLOOKUP($B39,'💼 Pipeline'!$B$8:$H$91,7,0),""))</f>
        <v/>
      </c>
      <c r="F39" s="12" t="str">
        <f>IF($B39="","",IFERROR(VLOOKUP($B39,'💼 Pipeline'!$B$8:$N$91,13,0),""))</f>
        <v/>
      </c>
      <c r="G39" s="50" t="str">
        <f>IF($B39="","",IFERROR(VLOOKUP($B39,'💼 Pipeline'!$B$8:$Q$91,16,0),""))</f>
        <v/>
      </c>
      <c r="H39" s="19" t="str">
        <f>IF($B39="","",IFERROR(VLOOKUP($B39,'💼 Pipeline'!$B$8:$R$91,17,0),""))</f>
        <v/>
      </c>
      <c r="I39" s="32"/>
      <c r="J39" s="54"/>
      <c r="K39" s="55"/>
    </row>
    <row r="40" spans="1:11" ht="21.75" customHeight="1" x14ac:dyDescent="0.35">
      <c r="A40" s="53" t="str">
        <f t="shared" si="1"/>
        <v/>
      </c>
      <c r="B40" s="30"/>
      <c r="C40" s="47" t="str">
        <f>IF($B40="","",IFERROR(VLOOKUP($B40,'💼 Pipeline'!$B$8:$C$91,2,0),"— not found —"))</f>
        <v/>
      </c>
      <c r="D40" s="48" t="str">
        <f>IF($B40="","",IFERROR(VLOOKUP($B40,'💼 Pipeline'!$B$8:$G$91,6,0),""))</f>
        <v/>
      </c>
      <c r="E40" s="49" t="str">
        <f>IF($B40="","",IFERROR(VLOOKUP($B40,'💼 Pipeline'!$B$8:$H$91,7,0),""))</f>
        <v/>
      </c>
      <c r="F40" s="12" t="str">
        <f>IF($B40="","",IFERROR(VLOOKUP($B40,'💼 Pipeline'!$B$8:$N$91,13,0),""))</f>
        <v/>
      </c>
      <c r="G40" s="50" t="str">
        <f>IF($B40="","",IFERROR(VLOOKUP($B40,'💼 Pipeline'!$B$8:$Q$91,16,0),""))</f>
        <v/>
      </c>
      <c r="H40" s="19" t="str">
        <f>IF($B40="","",IFERROR(VLOOKUP($B40,'💼 Pipeline'!$B$8:$R$91,17,0),""))</f>
        <v/>
      </c>
      <c r="I40" s="32"/>
      <c r="J40" s="54"/>
      <c r="K40" s="55"/>
    </row>
    <row r="41" spans="1:11" ht="21.75" customHeight="1" x14ac:dyDescent="0.35">
      <c r="A41" s="53" t="str">
        <f t="shared" si="1"/>
        <v/>
      </c>
      <c r="B41" s="30"/>
      <c r="C41" s="47" t="str">
        <f>IF($B41="","",IFERROR(VLOOKUP($B41,'💼 Pipeline'!$B$8:$C$91,2,0),"— not found —"))</f>
        <v/>
      </c>
      <c r="D41" s="48" t="str">
        <f>IF($B41="","",IFERROR(VLOOKUP($B41,'💼 Pipeline'!$B$8:$G$91,6,0),""))</f>
        <v/>
      </c>
      <c r="E41" s="49" t="str">
        <f>IF($B41="","",IFERROR(VLOOKUP($B41,'💼 Pipeline'!$B$8:$H$91,7,0),""))</f>
        <v/>
      </c>
      <c r="F41" s="12" t="str">
        <f>IF($B41="","",IFERROR(VLOOKUP($B41,'💼 Pipeline'!$B$8:$N$91,13,0),""))</f>
        <v/>
      </c>
      <c r="G41" s="50" t="str">
        <f>IF($B41="","",IFERROR(VLOOKUP($B41,'💼 Pipeline'!$B$8:$Q$91,16,0),""))</f>
        <v/>
      </c>
      <c r="H41" s="19" t="str">
        <f>IF($B41="","",IFERROR(VLOOKUP($B41,'💼 Pipeline'!$B$8:$R$91,17,0),""))</f>
        <v/>
      </c>
      <c r="I41" s="32"/>
      <c r="J41" s="54"/>
      <c r="K41" s="55"/>
    </row>
    <row r="42" spans="1:11" ht="21.75" customHeight="1" x14ac:dyDescent="0.35">
      <c r="A42" s="53" t="str">
        <f t="shared" si="1"/>
        <v/>
      </c>
      <c r="B42" s="30"/>
      <c r="C42" s="47" t="str">
        <f>IF($B42="","",IFERROR(VLOOKUP($B42,'💼 Pipeline'!$B$8:$C$91,2,0),"— not found —"))</f>
        <v/>
      </c>
      <c r="D42" s="48" t="str">
        <f>IF($B42="","",IFERROR(VLOOKUP($B42,'💼 Pipeline'!$B$8:$G$91,6,0),""))</f>
        <v/>
      </c>
      <c r="E42" s="49" t="str">
        <f>IF($B42="","",IFERROR(VLOOKUP($B42,'💼 Pipeline'!$B$8:$H$91,7,0),""))</f>
        <v/>
      </c>
      <c r="F42" s="12" t="str">
        <f>IF($B42="","",IFERROR(VLOOKUP($B42,'💼 Pipeline'!$B$8:$N$91,13,0),""))</f>
        <v/>
      </c>
      <c r="G42" s="50" t="str">
        <f>IF($B42="","",IFERROR(VLOOKUP($B42,'💼 Pipeline'!$B$8:$Q$91,16,0),""))</f>
        <v/>
      </c>
      <c r="H42" s="19" t="str">
        <f>IF($B42="","",IFERROR(VLOOKUP($B42,'💼 Pipeline'!$B$8:$R$91,17,0),""))</f>
        <v/>
      </c>
      <c r="I42" s="32"/>
      <c r="J42" s="54"/>
      <c r="K42" s="55"/>
    </row>
    <row r="43" spans="1:11" ht="21.75" customHeight="1" x14ac:dyDescent="0.35">
      <c r="A43" s="53" t="str">
        <f t="shared" si="1"/>
        <v/>
      </c>
      <c r="B43" s="30"/>
      <c r="C43" s="47" t="str">
        <f>IF($B43="","",IFERROR(VLOOKUP($B43,'💼 Pipeline'!$B$8:$C$91,2,0),"— not found —"))</f>
        <v/>
      </c>
      <c r="D43" s="48" t="str">
        <f>IF($B43="","",IFERROR(VLOOKUP($B43,'💼 Pipeline'!$B$8:$G$91,6,0),""))</f>
        <v/>
      </c>
      <c r="E43" s="49" t="str">
        <f>IF($B43="","",IFERROR(VLOOKUP($B43,'💼 Pipeline'!$B$8:$H$91,7,0),""))</f>
        <v/>
      </c>
      <c r="F43" s="12" t="str">
        <f>IF($B43="","",IFERROR(VLOOKUP($B43,'💼 Pipeline'!$B$8:$N$91,13,0),""))</f>
        <v/>
      </c>
      <c r="G43" s="50" t="str">
        <f>IF($B43="","",IFERROR(VLOOKUP($B43,'💼 Pipeline'!$B$8:$Q$91,16,0),""))</f>
        <v/>
      </c>
      <c r="H43" s="19" t="str">
        <f>IF($B43="","",IFERROR(VLOOKUP($B43,'💼 Pipeline'!$B$8:$R$91,17,0),""))</f>
        <v/>
      </c>
      <c r="I43" s="32"/>
      <c r="J43" s="54"/>
      <c r="K43" s="55"/>
    </row>
    <row r="44" spans="1:11" ht="25.5" customHeight="1" x14ac:dyDescent="0.35">
      <c r="A44" s="195" t="s">
        <v>116</v>
      </c>
      <c r="B44" s="195"/>
      <c r="C44" s="195"/>
      <c r="D44" s="195"/>
      <c r="E44" s="195"/>
      <c r="F44" s="195"/>
      <c r="G44" s="195"/>
      <c r="H44" s="195"/>
      <c r="I44" s="195"/>
      <c r="J44" s="195"/>
      <c r="K44" s="195"/>
    </row>
    <row r="45" spans="1:11" ht="9.75" customHeight="1" x14ac:dyDescent="0.35">
      <c r="A45" s="196"/>
      <c r="B45" s="196"/>
      <c r="C45" s="196"/>
      <c r="D45" s="196"/>
      <c r="E45" s="196"/>
      <c r="F45" s="196"/>
      <c r="G45" s="196"/>
      <c r="H45" s="196"/>
      <c r="I45" s="196"/>
      <c r="J45" s="196"/>
      <c r="K45" s="196"/>
    </row>
    <row r="46" spans="1:11" ht="30" customHeight="1" x14ac:dyDescent="0.35">
      <c r="A46" s="191" t="s">
        <v>117</v>
      </c>
      <c r="B46" s="191"/>
      <c r="C46" s="191"/>
      <c r="D46" s="191"/>
      <c r="E46" s="191"/>
      <c r="F46" s="191"/>
      <c r="G46" s="191"/>
      <c r="H46" s="191"/>
      <c r="I46" s="191"/>
      <c r="J46" s="191"/>
      <c r="K46" s="191"/>
    </row>
    <row r="47" spans="1:11" ht="19.5" customHeight="1" x14ac:dyDescent="0.35">
      <c r="A47" s="192" t="s">
        <v>104</v>
      </c>
      <c r="B47" s="192"/>
      <c r="C47" s="192" t="s">
        <v>105</v>
      </c>
      <c r="D47" s="192"/>
      <c r="E47" s="192" t="s">
        <v>106</v>
      </c>
      <c r="F47" s="192"/>
      <c r="G47" s="192" t="s">
        <v>107</v>
      </c>
      <c r="H47" s="192"/>
      <c r="I47" s="192" t="s">
        <v>108</v>
      </c>
      <c r="J47" s="192"/>
      <c r="K47" s="41" t="s">
        <v>109</v>
      </c>
    </row>
    <row r="48" spans="1:11" ht="21" customHeight="1" x14ac:dyDescent="0.35">
      <c r="A48" s="193">
        <f>COUNTA(B49:B63)</f>
        <v>1</v>
      </c>
      <c r="B48" s="193"/>
      <c r="C48" s="193">
        <f>COUNTIF(J49:J63,"Closed-Won")</f>
        <v>0</v>
      </c>
      <c r="D48" s="193"/>
      <c r="E48" s="194">
        <f>SUMIF(J49:J63,"Closed-Won",G49:G63)</f>
        <v>0</v>
      </c>
      <c r="F48" s="194"/>
      <c r="G48" s="194">
        <f>SUM(G49:G63)</f>
        <v>0</v>
      </c>
      <c r="H48" s="194"/>
      <c r="I48" s="194">
        <f>SUM(H49:H63)</f>
        <v>0</v>
      </c>
      <c r="J48" s="194"/>
      <c r="K48" s="42" t="s">
        <v>110</v>
      </c>
    </row>
    <row r="49" spans="1:11" ht="30" customHeight="1" x14ac:dyDescent="0.35">
      <c r="A49" s="1" t="s">
        <v>11</v>
      </c>
      <c r="B49" s="1" t="s">
        <v>17</v>
      </c>
      <c r="C49" s="1" t="s">
        <v>18</v>
      </c>
      <c r="D49" s="1" t="s">
        <v>21</v>
      </c>
      <c r="E49" s="1" t="s">
        <v>22</v>
      </c>
      <c r="F49" s="43" t="s">
        <v>29</v>
      </c>
      <c r="G49" s="44" t="s">
        <v>32</v>
      </c>
      <c r="H49" s="45" t="s">
        <v>33</v>
      </c>
      <c r="I49" s="2" t="s">
        <v>111</v>
      </c>
      <c r="J49" s="2" t="s">
        <v>112</v>
      </c>
      <c r="K49" s="1" t="s">
        <v>35</v>
      </c>
    </row>
    <row r="50" spans="1:11" ht="21.75" customHeight="1" x14ac:dyDescent="0.35">
      <c r="A50" s="53" t="str">
        <f t="shared" ref="A50:A64" si="2">IF($B50="","",ROW()-49)</f>
        <v/>
      </c>
      <c r="B50" s="30"/>
      <c r="C50" s="47" t="str">
        <f>IF($B50="","",IFERROR(VLOOKUP($B50,'💼 Pipeline'!$B$8:$C$91,2,0),"— not found —"))</f>
        <v/>
      </c>
      <c r="D50" s="48" t="str">
        <f>IF($B50="","",IFERROR(VLOOKUP($B50,'💼 Pipeline'!$B$8:$G$91,6,0),""))</f>
        <v/>
      </c>
      <c r="E50" s="49" t="str">
        <f>IF($B50="","",IFERROR(VLOOKUP($B50,'💼 Pipeline'!$B$8:$H$91,7,0),""))</f>
        <v/>
      </c>
      <c r="F50" s="12" t="str">
        <f>IF($B50="","",IFERROR(VLOOKUP($B50,'💼 Pipeline'!$B$8:$N$91,13,0),""))</f>
        <v/>
      </c>
      <c r="G50" s="50" t="str">
        <f>IF($B50="","",IFERROR(VLOOKUP($B50,'💼 Pipeline'!$B$8:$Q$91,16,0),""))</f>
        <v/>
      </c>
      <c r="H50" s="19" t="str">
        <f>IF($B50="","",IFERROR(VLOOKUP($B50,'💼 Pipeline'!$B$8:$R$91,17,0),""))</f>
        <v/>
      </c>
      <c r="I50" s="32"/>
      <c r="J50" s="54"/>
      <c r="K50" s="55"/>
    </row>
    <row r="51" spans="1:11" ht="21.75" customHeight="1" x14ac:dyDescent="0.35">
      <c r="A51" s="53" t="str">
        <f t="shared" si="2"/>
        <v/>
      </c>
      <c r="B51" s="30"/>
      <c r="C51" s="47" t="str">
        <f>IF($B51="","",IFERROR(VLOOKUP($B51,'💼 Pipeline'!$B$8:$C$91,2,0),"— not found —"))</f>
        <v/>
      </c>
      <c r="D51" s="48" t="str">
        <f>IF($B51="","",IFERROR(VLOOKUP($B51,'💼 Pipeline'!$B$8:$G$91,6,0),""))</f>
        <v/>
      </c>
      <c r="E51" s="49" t="str">
        <f>IF($B51="","",IFERROR(VLOOKUP($B51,'💼 Pipeline'!$B$8:$H$91,7,0),""))</f>
        <v/>
      </c>
      <c r="F51" s="12" t="str">
        <f>IF($B51="","",IFERROR(VLOOKUP($B51,'💼 Pipeline'!$B$8:$N$91,13,0),""))</f>
        <v/>
      </c>
      <c r="G51" s="50" t="str">
        <f>IF($B51="","",IFERROR(VLOOKUP($B51,'💼 Pipeline'!$B$8:$Q$91,16,0),""))</f>
        <v/>
      </c>
      <c r="H51" s="19" t="str">
        <f>IF($B51="","",IFERROR(VLOOKUP($B51,'💼 Pipeline'!$B$8:$R$91,17,0),""))</f>
        <v/>
      </c>
      <c r="I51" s="32"/>
      <c r="J51" s="54"/>
      <c r="K51" s="55"/>
    </row>
    <row r="52" spans="1:11" ht="21.75" customHeight="1" x14ac:dyDescent="0.35">
      <c r="A52" s="53" t="str">
        <f t="shared" si="2"/>
        <v/>
      </c>
      <c r="B52" s="30"/>
      <c r="C52" s="47" t="str">
        <f>IF($B52="","",IFERROR(VLOOKUP($B52,'💼 Pipeline'!$B$8:$C$91,2,0),"— not found —"))</f>
        <v/>
      </c>
      <c r="D52" s="48" t="str">
        <f>IF($B52="","",IFERROR(VLOOKUP($B52,'💼 Pipeline'!$B$8:$G$91,6,0),""))</f>
        <v/>
      </c>
      <c r="E52" s="49" t="str">
        <f>IF($B52="","",IFERROR(VLOOKUP($B52,'💼 Pipeline'!$B$8:$H$91,7,0),""))</f>
        <v/>
      </c>
      <c r="F52" s="12" t="str">
        <f>IF($B52="","",IFERROR(VLOOKUP($B52,'💼 Pipeline'!$B$8:$N$91,13,0),""))</f>
        <v/>
      </c>
      <c r="G52" s="50" t="str">
        <f>IF($B52="","",IFERROR(VLOOKUP($B52,'💼 Pipeline'!$B$8:$Q$91,16,0),""))</f>
        <v/>
      </c>
      <c r="H52" s="19" t="str">
        <f>IF($B52="","",IFERROR(VLOOKUP($B52,'💼 Pipeline'!$B$8:$R$91,17,0),""))</f>
        <v/>
      </c>
      <c r="I52" s="32"/>
      <c r="J52" s="54"/>
      <c r="K52" s="55"/>
    </row>
    <row r="53" spans="1:11" ht="21.75" customHeight="1" x14ac:dyDescent="0.35">
      <c r="A53" s="53" t="str">
        <f t="shared" si="2"/>
        <v/>
      </c>
      <c r="B53" s="30"/>
      <c r="C53" s="47" t="str">
        <f>IF($B53="","",IFERROR(VLOOKUP($B53,'💼 Pipeline'!$B$8:$C$91,2,0),"— not found —"))</f>
        <v/>
      </c>
      <c r="D53" s="48" t="str">
        <f>IF($B53="","",IFERROR(VLOOKUP($B53,'💼 Pipeline'!$B$8:$G$91,6,0),""))</f>
        <v/>
      </c>
      <c r="E53" s="49" t="str">
        <f>IF($B53="","",IFERROR(VLOOKUP($B53,'💼 Pipeline'!$B$8:$H$91,7,0),""))</f>
        <v/>
      </c>
      <c r="F53" s="12" t="str">
        <f>IF($B53="","",IFERROR(VLOOKUP($B53,'💼 Pipeline'!$B$8:$N$91,13,0),""))</f>
        <v/>
      </c>
      <c r="G53" s="50" t="str">
        <f>IF($B53="","",IFERROR(VLOOKUP($B53,'💼 Pipeline'!$B$8:$Q$91,16,0),""))</f>
        <v/>
      </c>
      <c r="H53" s="19" t="str">
        <f>IF($B53="","",IFERROR(VLOOKUP($B53,'💼 Pipeline'!$B$8:$R$91,17,0),""))</f>
        <v/>
      </c>
      <c r="I53" s="32"/>
      <c r="J53" s="54"/>
      <c r="K53" s="55"/>
    </row>
    <row r="54" spans="1:11" ht="21.75" customHeight="1" x14ac:dyDescent="0.35">
      <c r="A54" s="53" t="str">
        <f t="shared" si="2"/>
        <v/>
      </c>
      <c r="B54" s="30"/>
      <c r="C54" s="47" t="str">
        <f>IF($B54="","",IFERROR(VLOOKUP($B54,'💼 Pipeline'!$B$8:$C$91,2,0),"— not found —"))</f>
        <v/>
      </c>
      <c r="D54" s="48" t="str">
        <f>IF($B54="","",IFERROR(VLOOKUP($B54,'💼 Pipeline'!$B$8:$G$91,6,0),""))</f>
        <v/>
      </c>
      <c r="E54" s="49" t="str">
        <f>IF($B54="","",IFERROR(VLOOKUP($B54,'💼 Pipeline'!$B$8:$H$91,7,0),""))</f>
        <v/>
      </c>
      <c r="F54" s="12" t="str">
        <f>IF($B54="","",IFERROR(VLOOKUP($B54,'💼 Pipeline'!$B$8:$N$91,13,0),""))</f>
        <v/>
      </c>
      <c r="G54" s="50" t="str">
        <f>IF($B54="","",IFERROR(VLOOKUP($B54,'💼 Pipeline'!$B$8:$Q$91,16,0),""))</f>
        <v/>
      </c>
      <c r="H54" s="19" t="str">
        <f>IF($B54="","",IFERROR(VLOOKUP($B54,'💼 Pipeline'!$B$8:$R$91,17,0),""))</f>
        <v/>
      </c>
      <c r="I54" s="32"/>
      <c r="J54" s="54"/>
      <c r="K54" s="55"/>
    </row>
    <row r="55" spans="1:11" ht="21.75" customHeight="1" x14ac:dyDescent="0.35">
      <c r="A55" s="53" t="str">
        <f t="shared" si="2"/>
        <v/>
      </c>
      <c r="B55" s="30"/>
      <c r="C55" s="47" t="str">
        <f>IF($B55="","",IFERROR(VLOOKUP($B55,'💼 Pipeline'!$B$8:$C$91,2,0),"— not found —"))</f>
        <v/>
      </c>
      <c r="D55" s="48" t="str">
        <f>IF($B55="","",IFERROR(VLOOKUP($B55,'💼 Pipeline'!$B$8:$G$91,6,0),""))</f>
        <v/>
      </c>
      <c r="E55" s="49" t="str">
        <f>IF($B55="","",IFERROR(VLOOKUP($B55,'💼 Pipeline'!$B$8:$H$91,7,0),""))</f>
        <v/>
      </c>
      <c r="F55" s="12" t="str">
        <f>IF($B55="","",IFERROR(VLOOKUP($B55,'💼 Pipeline'!$B$8:$N$91,13,0),""))</f>
        <v/>
      </c>
      <c r="G55" s="50" t="str">
        <f>IF($B55="","",IFERROR(VLOOKUP($B55,'💼 Pipeline'!$B$8:$Q$91,16,0),""))</f>
        <v/>
      </c>
      <c r="H55" s="19" t="str">
        <f>IF($B55="","",IFERROR(VLOOKUP($B55,'💼 Pipeline'!$B$8:$R$91,17,0),""))</f>
        <v/>
      </c>
      <c r="I55" s="32"/>
      <c r="J55" s="54"/>
      <c r="K55" s="55"/>
    </row>
    <row r="56" spans="1:11" ht="21.75" customHeight="1" x14ac:dyDescent="0.35">
      <c r="A56" s="53" t="str">
        <f t="shared" si="2"/>
        <v/>
      </c>
      <c r="B56" s="30"/>
      <c r="C56" s="47" t="str">
        <f>IF($B56="","",IFERROR(VLOOKUP($B56,'💼 Pipeline'!$B$8:$C$91,2,0),"— not found —"))</f>
        <v/>
      </c>
      <c r="D56" s="48" t="str">
        <f>IF($B56="","",IFERROR(VLOOKUP($B56,'💼 Pipeline'!$B$8:$G$91,6,0),""))</f>
        <v/>
      </c>
      <c r="E56" s="49" t="str">
        <f>IF($B56="","",IFERROR(VLOOKUP($B56,'💼 Pipeline'!$B$8:$H$91,7,0),""))</f>
        <v/>
      </c>
      <c r="F56" s="12" t="str">
        <f>IF($B56="","",IFERROR(VLOOKUP($B56,'💼 Pipeline'!$B$8:$N$91,13,0),""))</f>
        <v/>
      </c>
      <c r="G56" s="50" t="str">
        <f>IF($B56="","",IFERROR(VLOOKUP($B56,'💼 Pipeline'!$B$8:$Q$91,16,0),""))</f>
        <v/>
      </c>
      <c r="H56" s="19" t="str">
        <f>IF($B56="","",IFERROR(VLOOKUP($B56,'💼 Pipeline'!$B$8:$R$91,17,0),""))</f>
        <v/>
      </c>
      <c r="I56" s="32"/>
      <c r="J56" s="54"/>
      <c r="K56" s="55"/>
    </row>
    <row r="57" spans="1:11" ht="21.75" customHeight="1" x14ac:dyDescent="0.35">
      <c r="A57" s="53" t="str">
        <f t="shared" si="2"/>
        <v/>
      </c>
      <c r="B57" s="30"/>
      <c r="C57" s="47" t="str">
        <f>IF($B57="","",IFERROR(VLOOKUP($B57,'💼 Pipeline'!$B$8:$C$91,2,0),"— not found —"))</f>
        <v/>
      </c>
      <c r="D57" s="48" t="str">
        <f>IF($B57="","",IFERROR(VLOOKUP($B57,'💼 Pipeline'!$B$8:$G$91,6,0),""))</f>
        <v/>
      </c>
      <c r="E57" s="49" t="str">
        <f>IF($B57="","",IFERROR(VLOOKUP($B57,'💼 Pipeline'!$B$8:$H$91,7,0),""))</f>
        <v/>
      </c>
      <c r="F57" s="12" t="str">
        <f>IF($B57="","",IFERROR(VLOOKUP($B57,'💼 Pipeline'!$B$8:$N$91,13,0),""))</f>
        <v/>
      </c>
      <c r="G57" s="50" t="str">
        <f>IF($B57="","",IFERROR(VLOOKUP($B57,'💼 Pipeline'!$B$8:$Q$91,16,0),""))</f>
        <v/>
      </c>
      <c r="H57" s="19" t="str">
        <f>IF($B57="","",IFERROR(VLOOKUP($B57,'💼 Pipeline'!$B$8:$R$91,17,0),""))</f>
        <v/>
      </c>
      <c r="I57" s="32"/>
      <c r="J57" s="54"/>
      <c r="K57" s="55"/>
    </row>
    <row r="58" spans="1:11" ht="21.75" customHeight="1" x14ac:dyDescent="0.35">
      <c r="A58" s="53" t="str">
        <f t="shared" si="2"/>
        <v/>
      </c>
      <c r="B58" s="30"/>
      <c r="C58" s="47" t="str">
        <f>IF($B58="","",IFERROR(VLOOKUP($B58,'💼 Pipeline'!$B$8:$C$91,2,0),"— not found —"))</f>
        <v/>
      </c>
      <c r="D58" s="48" t="str">
        <f>IF($B58="","",IFERROR(VLOOKUP($B58,'💼 Pipeline'!$B$8:$G$91,6,0),""))</f>
        <v/>
      </c>
      <c r="E58" s="49" t="str">
        <f>IF($B58="","",IFERROR(VLOOKUP($B58,'💼 Pipeline'!$B$8:$H$91,7,0),""))</f>
        <v/>
      </c>
      <c r="F58" s="12" t="str">
        <f>IF($B58="","",IFERROR(VLOOKUP($B58,'💼 Pipeline'!$B$8:$N$91,13,0),""))</f>
        <v/>
      </c>
      <c r="G58" s="50" t="str">
        <f>IF($B58="","",IFERROR(VLOOKUP($B58,'💼 Pipeline'!$B$8:$Q$91,16,0),""))</f>
        <v/>
      </c>
      <c r="H58" s="19" t="str">
        <f>IF($B58="","",IFERROR(VLOOKUP($B58,'💼 Pipeline'!$B$8:$R$91,17,0),""))</f>
        <v/>
      </c>
      <c r="I58" s="32"/>
      <c r="J58" s="54"/>
      <c r="K58" s="55"/>
    </row>
    <row r="59" spans="1:11" ht="21.75" customHeight="1" x14ac:dyDescent="0.35">
      <c r="A59" s="53" t="str">
        <f t="shared" si="2"/>
        <v/>
      </c>
      <c r="B59" s="30"/>
      <c r="C59" s="47" t="str">
        <f>IF($B59="","",IFERROR(VLOOKUP($B59,'💼 Pipeline'!$B$8:$C$91,2,0),"— not found —"))</f>
        <v/>
      </c>
      <c r="D59" s="48" t="str">
        <f>IF($B59="","",IFERROR(VLOOKUP($B59,'💼 Pipeline'!$B$8:$G$91,6,0),""))</f>
        <v/>
      </c>
      <c r="E59" s="49" t="str">
        <f>IF($B59="","",IFERROR(VLOOKUP($B59,'💼 Pipeline'!$B$8:$H$91,7,0),""))</f>
        <v/>
      </c>
      <c r="F59" s="12" t="str">
        <f>IF($B59="","",IFERROR(VLOOKUP($B59,'💼 Pipeline'!$B$8:$N$91,13,0),""))</f>
        <v/>
      </c>
      <c r="G59" s="50" t="str">
        <f>IF($B59="","",IFERROR(VLOOKUP($B59,'💼 Pipeline'!$B$8:$Q$91,16,0),""))</f>
        <v/>
      </c>
      <c r="H59" s="19" t="str">
        <f>IF($B59="","",IFERROR(VLOOKUP($B59,'💼 Pipeline'!$B$8:$R$91,17,0),""))</f>
        <v/>
      </c>
      <c r="I59" s="32"/>
      <c r="J59" s="54"/>
      <c r="K59" s="55"/>
    </row>
    <row r="60" spans="1:11" ht="21.75" customHeight="1" x14ac:dyDescent="0.35">
      <c r="A60" s="53" t="str">
        <f t="shared" si="2"/>
        <v/>
      </c>
      <c r="B60" s="30"/>
      <c r="C60" s="47" t="str">
        <f>IF($B60="","",IFERROR(VLOOKUP($B60,'💼 Pipeline'!$B$8:$C$91,2,0),"— not found —"))</f>
        <v/>
      </c>
      <c r="D60" s="48" t="str">
        <f>IF($B60="","",IFERROR(VLOOKUP($B60,'💼 Pipeline'!$B$8:$G$91,6,0),""))</f>
        <v/>
      </c>
      <c r="E60" s="49" t="str">
        <f>IF($B60="","",IFERROR(VLOOKUP($B60,'💼 Pipeline'!$B$8:$H$91,7,0),""))</f>
        <v/>
      </c>
      <c r="F60" s="12" t="str">
        <f>IF($B60="","",IFERROR(VLOOKUP($B60,'💼 Pipeline'!$B$8:$N$91,13,0),""))</f>
        <v/>
      </c>
      <c r="G60" s="50" t="str">
        <f>IF($B60="","",IFERROR(VLOOKUP($B60,'💼 Pipeline'!$B$8:$Q$91,16,0),""))</f>
        <v/>
      </c>
      <c r="H60" s="19" t="str">
        <f>IF($B60="","",IFERROR(VLOOKUP($B60,'💼 Pipeline'!$B$8:$R$91,17,0),""))</f>
        <v/>
      </c>
      <c r="I60" s="32"/>
      <c r="J60" s="54"/>
      <c r="K60" s="55"/>
    </row>
    <row r="61" spans="1:11" ht="21.75" customHeight="1" x14ac:dyDescent="0.35">
      <c r="A61" s="53" t="str">
        <f t="shared" si="2"/>
        <v/>
      </c>
      <c r="B61" s="30"/>
      <c r="C61" s="47" t="str">
        <f>IF($B61="","",IFERROR(VLOOKUP($B61,'💼 Pipeline'!$B$8:$C$91,2,0),"— not found —"))</f>
        <v/>
      </c>
      <c r="D61" s="48" t="str">
        <f>IF($B61="","",IFERROR(VLOOKUP($B61,'💼 Pipeline'!$B$8:$G$91,6,0),""))</f>
        <v/>
      </c>
      <c r="E61" s="49" t="str">
        <f>IF($B61="","",IFERROR(VLOOKUP($B61,'💼 Pipeline'!$B$8:$H$91,7,0),""))</f>
        <v/>
      </c>
      <c r="F61" s="12" t="str">
        <f>IF($B61="","",IFERROR(VLOOKUP($B61,'💼 Pipeline'!$B$8:$N$91,13,0),""))</f>
        <v/>
      </c>
      <c r="G61" s="50" t="str">
        <f>IF($B61="","",IFERROR(VLOOKUP($B61,'💼 Pipeline'!$B$8:$Q$91,16,0),""))</f>
        <v/>
      </c>
      <c r="H61" s="19" t="str">
        <f>IF($B61="","",IFERROR(VLOOKUP($B61,'💼 Pipeline'!$B$8:$R$91,17,0),""))</f>
        <v/>
      </c>
      <c r="I61" s="32"/>
      <c r="J61" s="54"/>
      <c r="K61" s="55"/>
    </row>
    <row r="62" spans="1:11" ht="21.75" customHeight="1" x14ac:dyDescent="0.35">
      <c r="A62" s="53" t="str">
        <f t="shared" si="2"/>
        <v/>
      </c>
      <c r="B62" s="30"/>
      <c r="C62" s="47" t="str">
        <f>IF($B62="","",IFERROR(VLOOKUP($B62,'💼 Pipeline'!$B$8:$C$91,2,0),"— not found —"))</f>
        <v/>
      </c>
      <c r="D62" s="48" t="str">
        <f>IF($B62="","",IFERROR(VLOOKUP($B62,'💼 Pipeline'!$B$8:$G$91,6,0),""))</f>
        <v/>
      </c>
      <c r="E62" s="49" t="str">
        <f>IF($B62="","",IFERROR(VLOOKUP($B62,'💼 Pipeline'!$B$8:$H$91,7,0),""))</f>
        <v/>
      </c>
      <c r="F62" s="12" t="str">
        <f>IF($B62="","",IFERROR(VLOOKUP($B62,'💼 Pipeline'!$B$8:$N$91,13,0),""))</f>
        <v/>
      </c>
      <c r="G62" s="50" t="str">
        <f>IF($B62="","",IFERROR(VLOOKUP($B62,'💼 Pipeline'!$B$8:$Q$91,16,0),""))</f>
        <v/>
      </c>
      <c r="H62" s="19" t="str">
        <f>IF($B62="","",IFERROR(VLOOKUP($B62,'💼 Pipeline'!$B$8:$R$91,17,0),""))</f>
        <v/>
      </c>
      <c r="I62" s="32"/>
      <c r="J62" s="54"/>
      <c r="K62" s="55"/>
    </row>
    <row r="63" spans="1:11" ht="21.75" customHeight="1" x14ac:dyDescent="0.35">
      <c r="A63" s="53" t="str">
        <f t="shared" si="2"/>
        <v/>
      </c>
      <c r="B63" s="30"/>
      <c r="C63" s="47" t="str">
        <f>IF($B63="","",IFERROR(VLOOKUP($B63,'💼 Pipeline'!$B$8:$C$91,2,0),"— not found —"))</f>
        <v/>
      </c>
      <c r="D63" s="48" t="str">
        <f>IF($B63="","",IFERROR(VLOOKUP($B63,'💼 Pipeline'!$B$8:$G$91,6,0),""))</f>
        <v/>
      </c>
      <c r="E63" s="49" t="str">
        <f>IF($B63="","",IFERROR(VLOOKUP($B63,'💼 Pipeline'!$B$8:$H$91,7,0),""))</f>
        <v/>
      </c>
      <c r="F63" s="12" t="str">
        <f>IF($B63="","",IFERROR(VLOOKUP($B63,'💼 Pipeline'!$B$8:$N$91,13,0),""))</f>
        <v/>
      </c>
      <c r="G63" s="50" t="str">
        <f>IF($B63="","",IFERROR(VLOOKUP($B63,'💼 Pipeline'!$B$8:$Q$91,16,0),""))</f>
        <v/>
      </c>
      <c r="H63" s="19" t="str">
        <f>IF($B63="","",IFERROR(VLOOKUP($B63,'💼 Pipeline'!$B$8:$R$91,17,0),""))</f>
        <v/>
      </c>
      <c r="I63" s="32"/>
      <c r="J63" s="54"/>
      <c r="K63" s="55"/>
    </row>
    <row r="64" spans="1:11" ht="21.75" customHeight="1" x14ac:dyDescent="0.35">
      <c r="A64" s="53" t="str">
        <f t="shared" si="2"/>
        <v/>
      </c>
      <c r="B64" s="30"/>
      <c r="C64" s="47" t="str">
        <f>IF($B64="","",IFERROR(VLOOKUP($B64,'💼 Pipeline'!$B$8:$C$91,2,0),"— not found —"))</f>
        <v/>
      </c>
      <c r="D64" s="48" t="str">
        <f>IF($B64="","",IFERROR(VLOOKUP($B64,'💼 Pipeline'!$B$8:$G$91,6,0),""))</f>
        <v/>
      </c>
      <c r="E64" s="49" t="str">
        <f>IF($B64="","",IFERROR(VLOOKUP($B64,'💼 Pipeline'!$B$8:$H$91,7,0),""))</f>
        <v/>
      </c>
      <c r="F64" s="12" t="str">
        <f>IF($B64="","",IFERROR(VLOOKUP($B64,'💼 Pipeline'!$B$8:$N$91,13,0),""))</f>
        <v/>
      </c>
      <c r="G64" s="50" t="str">
        <f>IF($B64="","",IFERROR(VLOOKUP($B64,'💼 Pipeline'!$B$8:$Q$91,16,0),""))</f>
        <v/>
      </c>
      <c r="H64" s="19" t="str">
        <f>IF($B64="","",IFERROR(VLOOKUP($B64,'💼 Pipeline'!$B$8:$R$91,17,0),""))</f>
        <v/>
      </c>
      <c r="I64" s="32"/>
      <c r="J64" s="54"/>
      <c r="K64" s="55"/>
    </row>
    <row r="65" spans="1:11" ht="25.5" customHeight="1" x14ac:dyDescent="0.35">
      <c r="A65" s="195" t="s">
        <v>118</v>
      </c>
      <c r="B65" s="195"/>
      <c r="C65" s="195"/>
      <c r="D65" s="195"/>
      <c r="E65" s="195"/>
      <c r="F65" s="195"/>
      <c r="G65" s="195"/>
      <c r="H65" s="195"/>
      <c r="I65" s="195"/>
      <c r="J65" s="195"/>
      <c r="K65" s="195"/>
    </row>
    <row r="66" spans="1:11" ht="21" customHeight="1" x14ac:dyDescent="0.35"/>
    <row r="67" spans="1:11" ht="31.5" customHeight="1" x14ac:dyDescent="0.35">
      <c r="A67" s="130" t="s">
        <v>119</v>
      </c>
      <c r="B67" s="130"/>
      <c r="C67" s="130"/>
      <c r="D67" s="130"/>
      <c r="E67" s="130"/>
      <c r="F67" s="130"/>
      <c r="G67" s="130"/>
      <c r="H67" s="130"/>
      <c r="I67" s="130"/>
      <c r="J67" s="130"/>
      <c r="K67" s="130"/>
    </row>
    <row r="68" spans="1:11" ht="21" customHeight="1" x14ac:dyDescent="0.35"/>
    <row r="69" spans="1:11" ht="21" customHeight="1" x14ac:dyDescent="0.35"/>
    <row r="70" spans="1:11" ht="21" customHeight="1" x14ac:dyDescent="0.35"/>
    <row r="71" spans="1:11" ht="21" customHeight="1" x14ac:dyDescent="0.35"/>
    <row r="72" spans="1:11" ht="21" customHeight="1" x14ac:dyDescent="0.35"/>
    <row r="73" spans="1:11" ht="21" customHeight="1" x14ac:dyDescent="0.35"/>
    <row r="74" spans="1:11" ht="21" customHeight="1" x14ac:dyDescent="0.35"/>
    <row r="75" spans="1:11" ht="21" customHeight="1" x14ac:dyDescent="0.35"/>
    <row r="76" spans="1:11" ht="21" customHeight="1" x14ac:dyDescent="0.35"/>
    <row r="77" spans="1:11" ht="21" customHeight="1" x14ac:dyDescent="0.35"/>
    <row r="78" spans="1:11" ht="21" customHeight="1" x14ac:dyDescent="0.35"/>
    <row r="79" spans="1:11" ht="21" customHeight="1" x14ac:dyDescent="0.35"/>
    <row r="80" spans="1:11" ht="21" customHeight="1" x14ac:dyDescent="0.35"/>
    <row r="81" ht="21" customHeight="1" x14ac:dyDescent="0.35"/>
    <row r="82" ht="21" customHeight="1" x14ac:dyDescent="0.35"/>
    <row r="83" ht="21" customHeight="1" x14ac:dyDescent="0.35"/>
    <row r="84" ht="21" customHeight="1" x14ac:dyDescent="0.35"/>
    <row r="85" ht="21" customHeight="1" x14ac:dyDescent="0.35"/>
    <row r="86" ht="21" customHeight="1" x14ac:dyDescent="0.35"/>
    <row r="87" ht="21" customHeight="1" x14ac:dyDescent="0.35"/>
    <row r="88" ht="21" customHeight="1" x14ac:dyDescent="0.35"/>
    <row r="89" ht="21" customHeight="1" x14ac:dyDescent="0.35"/>
    <row r="90" ht="21" customHeight="1" x14ac:dyDescent="0.35"/>
    <row r="91" ht="21" customHeight="1" x14ac:dyDescent="0.35"/>
    <row r="92" ht="21" customHeight="1" x14ac:dyDescent="0.35"/>
    <row r="93" ht="21" customHeight="1" x14ac:dyDescent="0.35"/>
    <row r="94" ht="21" customHeight="1" x14ac:dyDescent="0.35"/>
    <row r="95" ht="21" customHeight="1" x14ac:dyDescent="0.35"/>
    <row r="96" ht="21" customHeight="1" x14ac:dyDescent="0.35"/>
    <row r="97" ht="21" customHeight="1" x14ac:dyDescent="0.35"/>
    <row r="98" ht="21" customHeight="1" x14ac:dyDescent="0.35"/>
    <row r="99" ht="21" customHeight="1" x14ac:dyDescent="0.35"/>
    <row r="100" ht="21" customHeight="1" x14ac:dyDescent="0.35"/>
    <row r="101" ht="21" customHeight="1" x14ac:dyDescent="0.35"/>
    <row r="102" ht="21" customHeight="1" x14ac:dyDescent="0.35"/>
    <row r="103" ht="21" customHeight="1" x14ac:dyDescent="0.35"/>
    <row r="104" ht="21" customHeight="1" x14ac:dyDescent="0.35"/>
    <row r="105" ht="21" customHeight="1" x14ac:dyDescent="0.35"/>
    <row r="106" ht="21" customHeight="1" x14ac:dyDescent="0.35"/>
    <row r="107" ht="21" customHeight="1" x14ac:dyDescent="0.35"/>
    <row r="108" ht="21" customHeight="1" x14ac:dyDescent="0.35"/>
    <row r="109" ht="21" customHeight="1" x14ac:dyDescent="0.35"/>
    <row r="110" ht="21" customHeight="1" x14ac:dyDescent="0.35"/>
    <row r="111" ht="21" customHeight="1" x14ac:dyDescent="0.35"/>
    <row r="112" ht="21" customHeight="1" x14ac:dyDescent="0.35"/>
    <row r="113" ht="21" customHeight="1" x14ac:dyDescent="0.35"/>
    <row r="114" ht="21" customHeight="1" x14ac:dyDescent="0.35"/>
    <row r="115" ht="21" customHeight="1" x14ac:dyDescent="0.35"/>
    <row r="116" ht="21" customHeight="1" x14ac:dyDescent="0.35"/>
    <row r="117" ht="21" customHeight="1" x14ac:dyDescent="0.35"/>
    <row r="118" ht="21" customHeight="1" x14ac:dyDescent="0.35"/>
    <row r="119" ht="21" customHeight="1" x14ac:dyDescent="0.35"/>
  </sheetData>
  <sheetProtection password="DF04" sheet="1"/>
  <mergeCells count="42">
    <mergeCell ref="A65:K65"/>
    <mergeCell ref="A67:K67"/>
    <mergeCell ref="A48:B48"/>
    <mergeCell ref="C48:D48"/>
    <mergeCell ref="E48:F48"/>
    <mergeCell ref="G48:H48"/>
    <mergeCell ref="I48:J48"/>
    <mergeCell ref="A44:K44"/>
    <mergeCell ref="A45:K45"/>
    <mergeCell ref="A46:K46"/>
    <mergeCell ref="A47:B47"/>
    <mergeCell ref="C47:D47"/>
    <mergeCell ref="E47:F47"/>
    <mergeCell ref="G47:H47"/>
    <mergeCell ref="I47:J47"/>
    <mergeCell ref="A27:B27"/>
    <mergeCell ref="C27:D27"/>
    <mergeCell ref="E27:F27"/>
    <mergeCell ref="G27:H27"/>
    <mergeCell ref="I27:J27"/>
    <mergeCell ref="A23:K23"/>
    <mergeCell ref="A24:K24"/>
    <mergeCell ref="A25:K25"/>
    <mergeCell ref="A26:B26"/>
    <mergeCell ref="C26:D26"/>
    <mergeCell ref="E26:F26"/>
    <mergeCell ref="G26:H26"/>
    <mergeCell ref="I26:J26"/>
    <mergeCell ref="A6:B6"/>
    <mergeCell ref="C6:D6"/>
    <mergeCell ref="E6:F6"/>
    <mergeCell ref="G6:H6"/>
    <mergeCell ref="I6:J6"/>
    <mergeCell ref="A1:K1"/>
    <mergeCell ref="A2:K2"/>
    <mergeCell ref="A3:K3"/>
    <mergeCell ref="A4:K4"/>
    <mergeCell ref="A5:B5"/>
    <mergeCell ref="C5:D5"/>
    <mergeCell ref="E5:F5"/>
    <mergeCell ref="G5:H5"/>
    <mergeCell ref="I5:J5"/>
  </mergeCells>
  <dataValidations count="2">
    <dataValidation type="list" showErrorMessage="1" promptTitle="Status" prompt="Select deal status" sqref="J1:J66" xr:uid="{00000000-0002-0000-0200-000000000000}">
      <formula1>"Targeted,In Progress,Closed-Won,Closed-Lost,Deferred"</formula1>
      <formula2>0</formula2>
    </dataValidation>
    <dataValidation type="list" showInputMessage="1" promptTitle="Client Name" prompt="Type a letter then select from the dropdown list ▼" sqref="B1:B300" xr:uid="{00000000-0002-0000-0200-000001000000}">
      <formula1>"Damaris,Kess,Suzzy Donntwi,Sly Tetteh,Ernest Arthur,Isaac Asare,Amanda,Sharon,Coach Kay,Kwao Quaye,Mr. James,Serwa,Mr. Effah Lawson,Joel Client,Samuel,Enoch,Yaw Boateng,Wisdom Nana,King Germany,Marvin,Mr. James II"</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49"/>
  <sheetViews>
    <sheetView showGridLines="0" tabSelected="1" zoomScale="90" zoomScaleNormal="90" workbookViewId="0">
      <pane ySplit="5" topLeftCell="A10" activePane="bottomLeft" state="frozen"/>
      <selection pane="bottomLeft" activeCell="D210" sqref="D210"/>
    </sheetView>
  </sheetViews>
  <sheetFormatPr defaultColWidth="8.6328125" defaultRowHeight="14.5" x14ac:dyDescent="0.35"/>
  <cols>
    <col min="1" max="1" width="4" customWidth="1"/>
    <col min="2" max="2" width="10" customWidth="1"/>
    <col min="3" max="3" width="8" customWidth="1"/>
    <col min="4" max="4" width="18" customWidth="1"/>
    <col min="5" max="5" width="13" customWidth="1"/>
    <col min="6" max="6" width="8" customWidth="1"/>
    <col min="7" max="7" width="11" customWidth="1"/>
    <col min="8" max="9" width="32" customWidth="1"/>
    <col min="10" max="10" width="22" customWidth="1"/>
    <col min="11" max="11" width="11" customWidth="1"/>
    <col min="12" max="12" width="7" customWidth="1"/>
  </cols>
  <sheetData>
    <row r="1" spans="1:12" ht="39.75" customHeight="1" x14ac:dyDescent="0.35">
      <c r="A1" s="120" t="s">
        <v>120</v>
      </c>
      <c r="B1" s="120"/>
      <c r="C1" s="120"/>
      <c r="D1" s="120"/>
      <c r="E1" s="120"/>
      <c r="F1" s="120"/>
      <c r="G1" s="120"/>
      <c r="H1" s="120"/>
      <c r="I1" s="120"/>
      <c r="J1" s="120"/>
      <c r="K1" s="120"/>
      <c r="L1" s="120"/>
    </row>
    <row r="2" spans="1:12" ht="15.75" customHeight="1" x14ac:dyDescent="0.35">
      <c r="A2" s="121" t="s">
        <v>121</v>
      </c>
      <c r="B2" s="121"/>
      <c r="C2" s="121"/>
      <c r="D2" s="121"/>
      <c r="E2" s="121"/>
      <c r="F2" s="121"/>
      <c r="G2" s="121"/>
      <c r="H2" s="121"/>
      <c r="I2" s="121"/>
      <c r="J2" s="121"/>
      <c r="K2" s="121"/>
      <c r="L2" s="121"/>
    </row>
    <row r="3" spans="1:12" ht="4.5" customHeight="1" x14ac:dyDescent="0.35">
      <c r="A3" s="122"/>
      <c r="B3" s="122"/>
      <c r="C3" s="122"/>
      <c r="D3" s="122"/>
      <c r="E3" s="122"/>
      <c r="F3" s="122"/>
      <c r="G3" s="122"/>
      <c r="H3" s="122"/>
      <c r="I3" s="122"/>
      <c r="J3" s="122"/>
      <c r="K3" s="122"/>
      <c r="L3" s="122"/>
    </row>
    <row r="4" spans="1:12" ht="43.5" customHeight="1" x14ac:dyDescent="0.35">
      <c r="A4" s="123" t="s">
        <v>122</v>
      </c>
      <c r="B4" s="123"/>
      <c r="C4" s="124" t="s">
        <v>123</v>
      </c>
      <c r="D4" s="124"/>
      <c r="E4" s="125" t="s">
        <v>124</v>
      </c>
      <c r="F4" s="125"/>
      <c r="G4" s="126" t="s">
        <v>125</v>
      </c>
      <c r="H4" s="126"/>
      <c r="I4" s="127" t="s">
        <v>7</v>
      </c>
      <c r="J4" s="127"/>
      <c r="K4" s="128" t="s">
        <v>126</v>
      </c>
      <c r="L4" s="128"/>
    </row>
    <row r="5" spans="1:12" ht="18" customHeight="1" x14ac:dyDescent="0.35">
      <c r="A5" s="131">
        <f>COUNTA(B6:B250)</f>
        <v>8</v>
      </c>
      <c r="B5" s="131"/>
      <c r="C5" s="132">
        <f ca="1">COUNTIFS(B6:B250,"&gt;="&amp;(TODAY()-WEEKDAY(TODAY(),2)+1),B6:B250,"&lt;="&amp;TODAY())</f>
        <v>0</v>
      </c>
      <c r="D5" s="132"/>
      <c r="E5" s="133">
        <f>COUNTIF(L6:L250,"No")</f>
        <v>1</v>
      </c>
      <c r="F5" s="133"/>
      <c r="G5" s="134">
        <f ca="1">COUNTIFS(K6:K250,"&lt;"&amp;TODAY(),L6:L250,"No")</f>
        <v>1</v>
      </c>
      <c r="H5" s="134"/>
      <c r="I5" s="135">
        <f>COUNTIF(E6:E250,"Site Visit")</f>
        <v>0</v>
      </c>
      <c r="J5" s="135"/>
      <c r="K5" s="129">
        <f>IFERROR(SUMPRODUCT(1/COUNTIF(D6:D250,D6:D250)*(D6:D250&lt;&gt;"")),0)</f>
        <v>0</v>
      </c>
      <c r="L5" s="129"/>
    </row>
    <row r="6" spans="1:12" ht="33.75" customHeight="1" x14ac:dyDescent="0.35">
      <c r="A6" s="1" t="s">
        <v>11</v>
      </c>
      <c r="B6" s="1" t="s">
        <v>127</v>
      </c>
      <c r="C6" s="1" t="s">
        <v>128</v>
      </c>
      <c r="D6" s="1" t="s">
        <v>129</v>
      </c>
      <c r="E6" s="2" t="s">
        <v>130</v>
      </c>
      <c r="F6" s="1" t="s">
        <v>131</v>
      </c>
      <c r="G6" s="1" t="s">
        <v>20</v>
      </c>
      <c r="H6" s="43" t="s">
        <v>132</v>
      </c>
      <c r="I6" s="43" t="s">
        <v>133</v>
      </c>
      <c r="J6" s="43" t="s">
        <v>134</v>
      </c>
      <c r="K6" s="1" t="s">
        <v>135</v>
      </c>
      <c r="L6" s="2" t="s">
        <v>136</v>
      </c>
    </row>
    <row r="7" spans="1:12" ht="24" customHeight="1" x14ac:dyDescent="0.35">
      <c r="A7" s="46">
        <f t="shared" ref="A7:A70" si="0">IF($D7="","",ROW()-6)</f>
        <v>1</v>
      </c>
      <c r="B7" s="32" t="s">
        <v>197</v>
      </c>
      <c r="C7" s="56" t="s">
        <v>200</v>
      </c>
      <c r="D7" s="30" t="s">
        <v>198</v>
      </c>
      <c r="E7" s="57" t="s">
        <v>199</v>
      </c>
      <c r="F7" s="58" t="s">
        <v>139</v>
      </c>
      <c r="G7" s="59" t="s">
        <v>37</v>
      </c>
      <c r="H7" s="20" t="s">
        <v>218</v>
      </c>
      <c r="I7" s="60" t="s">
        <v>219</v>
      </c>
      <c r="J7" s="61" t="s">
        <v>220</v>
      </c>
      <c r="K7" s="32">
        <v>46117</v>
      </c>
      <c r="L7" s="117" t="s">
        <v>40</v>
      </c>
    </row>
    <row r="8" spans="1:12" ht="24" customHeight="1" x14ac:dyDescent="0.35">
      <c r="A8" s="46">
        <f t="shared" si="0"/>
        <v>2</v>
      </c>
      <c r="B8" s="32" t="s">
        <v>224</v>
      </c>
      <c r="C8" s="56" t="s">
        <v>225</v>
      </c>
      <c r="D8" s="30" t="s">
        <v>221</v>
      </c>
      <c r="E8" s="62" t="s">
        <v>138</v>
      </c>
      <c r="F8" s="58" t="s">
        <v>254</v>
      </c>
      <c r="G8" s="59" t="s">
        <v>56</v>
      </c>
      <c r="H8" s="20" t="s">
        <v>257</v>
      </c>
      <c r="I8" s="60" t="s">
        <v>222</v>
      </c>
      <c r="J8" s="61" t="s">
        <v>223</v>
      </c>
      <c r="K8" s="32">
        <v>46117</v>
      </c>
      <c r="L8" s="63" t="s">
        <v>40</v>
      </c>
    </row>
    <row r="9" spans="1:12" ht="24" customHeight="1" x14ac:dyDescent="0.35">
      <c r="A9" s="46">
        <f t="shared" si="0"/>
        <v>3</v>
      </c>
      <c r="B9" s="32" t="s">
        <v>224</v>
      </c>
      <c r="C9" s="56" t="s">
        <v>227</v>
      </c>
      <c r="D9" s="30" t="s">
        <v>226</v>
      </c>
      <c r="E9" s="64" t="s">
        <v>138</v>
      </c>
      <c r="F9" s="58" t="s">
        <v>255</v>
      </c>
      <c r="G9" s="65" t="s">
        <v>56</v>
      </c>
      <c r="H9" s="20" t="s">
        <v>228</v>
      </c>
      <c r="I9" s="60" t="s">
        <v>229</v>
      </c>
      <c r="J9" s="61" t="s">
        <v>230</v>
      </c>
      <c r="K9" s="32">
        <v>46137</v>
      </c>
      <c r="L9" s="63" t="s">
        <v>40</v>
      </c>
    </row>
    <row r="10" spans="1:12" ht="24" customHeight="1" x14ac:dyDescent="0.35">
      <c r="A10" s="46">
        <f t="shared" si="0"/>
        <v>4</v>
      </c>
      <c r="B10" s="32" t="s">
        <v>248</v>
      </c>
      <c r="C10" s="56" t="s">
        <v>249</v>
      </c>
      <c r="D10" s="30" t="s">
        <v>250</v>
      </c>
      <c r="E10" s="57" t="s">
        <v>138</v>
      </c>
      <c r="F10" s="58" t="s">
        <v>253</v>
      </c>
      <c r="G10" s="65" t="s">
        <v>56</v>
      </c>
      <c r="H10" s="20" t="s">
        <v>258</v>
      </c>
      <c r="I10" s="60" t="s">
        <v>259</v>
      </c>
      <c r="J10" s="115" t="s">
        <v>262</v>
      </c>
      <c r="K10" s="32">
        <v>46119</v>
      </c>
      <c r="L10" s="116" t="s">
        <v>40</v>
      </c>
    </row>
    <row r="11" spans="1:12" ht="24" customHeight="1" x14ac:dyDescent="0.35">
      <c r="A11" s="46">
        <f t="shared" si="0"/>
        <v>5</v>
      </c>
      <c r="B11" s="32" t="s">
        <v>248</v>
      </c>
      <c r="C11" s="56" t="s">
        <v>252</v>
      </c>
      <c r="D11" s="30" t="s">
        <v>251</v>
      </c>
      <c r="E11" s="62" t="s">
        <v>138</v>
      </c>
      <c r="F11" s="58" t="s">
        <v>256</v>
      </c>
      <c r="G11" s="51" t="s">
        <v>51</v>
      </c>
      <c r="H11" s="113" t="s">
        <v>260</v>
      </c>
      <c r="I11" s="114" t="s">
        <v>261</v>
      </c>
      <c r="J11" s="115" t="s">
        <v>268</v>
      </c>
      <c r="K11" s="32">
        <v>46120</v>
      </c>
      <c r="L11" s="63" t="s">
        <v>52</v>
      </c>
    </row>
    <row r="12" spans="1:12" ht="24" customHeight="1" x14ac:dyDescent="0.35">
      <c r="A12" s="46">
        <f t="shared" si="0"/>
        <v>6</v>
      </c>
      <c r="B12" s="119" t="s">
        <v>264</v>
      </c>
      <c r="C12" s="56" t="s">
        <v>227</v>
      </c>
      <c r="D12" s="118" t="s">
        <v>263</v>
      </c>
      <c r="E12" s="57" t="s">
        <v>138</v>
      </c>
      <c r="F12" s="58" t="s">
        <v>255</v>
      </c>
      <c r="G12" s="51" t="s">
        <v>56</v>
      </c>
      <c r="H12" s="113" t="s">
        <v>265</v>
      </c>
      <c r="I12" s="114" t="s">
        <v>266</v>
      </c>
      <c r="J12" s="115" t="s">
        <v>267</v>
      </c>
      <c r="K12" s="32">
        <v>46119</v>
      </c>
      <c r="L12" s="116" t="s">
        <v>40</v>
      </c>
    </row>
    <row r="13" spans="1:12" ht="24" customHeight="1" x14ac:dyDescent="0.35">
      <c r="A13" s="46">
        <f t="shared" si="0"/>
        <v>7</v>
      </c>
      <c r="B13" s="32" t="s">
        <v>269</v>
      </c>
      <c r="C13" s="56" t="s">
        <v>270</v>
      </c>
      <c r="D13" s="30" t="s">
        <v>271</v>
      </c>
      <c r="E13" s="62" t="s">
        <v>137</v>
      </c>
      <c r="F13" s="58" t="s">
        <v>255</v>
      </c>
      <c r="G13" s="65" t="s">
        <v>51</v>
      </c>
      <c r="H13" s="20" t="s">
        <v>272</v>
      </c>
      <c r="I13" s="60" t="s">
        <v>273</v>
      </c>
      <c r="J13" s="61" t="s">
        <v>274</v>
      </c>
      <c r="K13" s="32" t="s">
        <v>275</v>
      </c>
      <c r="L13" s="63" t="s">
        <v>40</v>
      </c>
    </row>
    <row r="14" spans="1:12" ht="24" customHeight="1" x14ac:dyDescent="0.35">
      <c r="A14" s="66" t="str">
        <f t="shared" si="0"/>
        <v/>
      </c>
      <c r="B14" s="67"/>
      <c r="C14" s="68"/>
      <c r="D14" s="68"/>
      <c r="E14" s="69"/>
      <c r="F14" s="70"/>
      <c r="G14" s="71"/>
      <c r="H14" s="52"/>
      <c r="I14" s="72"/>
      <c r="J14" s="73"/>
      <c r="K14" s="67"/>
      <c r="L14" s="74"/>
    </row>
    <row r="15" spans="1:12" ht="24" customHeight="1" x14ac:dyDescent="0.35">
      <c r="A15" s="66" t="str">
        <f t="shared" si="0"/>
        <v/>
      </c>
      <c r="B15" s="67"/>
      <c r="C15" s="68"/>
      <c r="D15" s="68"/>
      <c r="E15" s="69"/>
      <c r="F15" s="70"/>
      <c r="G15" s="71"/>
      <c r="H15" s="52"/>
      <c r="I15" s="72"/>
      <c r="J15" s="73"/>
      <c r="K15" s="67"/>
      <c r="L15" s="74"/>
    </row>
    <row r="16" spans="1:12" ht="24" customHeight="1" x14ac:dyDescent="0.35">
      <c r="A16" s="66" t="str">
        <f t="shared" si="0"/>
        <v/>
      </c>
      <c r="B16" s="67"/>
      <c r="C16" s="68"/>
      <c r="D16" s="68"/>
      <c r="E16" s="69"/>
      <c r="F16" s="70"/>
      <c r="G16" s="71"/>
      <c r="H16" s="52"/>
      <c r="I16" s="72"/>
      <c r="J16" s="73"/>
      <c r="K16" s="67"/>
      <c r="L16" s="74"/>
    </row>
    <row r="17" spans="1:12" ht="24" customHeight="1" x14ac:dyDescent="0.35">
      <c r="A17" s="66" t="str">
        <f t="shared" si="0"/>
        <v/>
      </c>
      <c r="B17" s="67"/>
      <c r="C17" s="68"/>
      <c r="D17" s="68"/>
      <c r="E17" s="69"/>
      <c r="F17" s="70"/>
      <c r="G17" s="71"/>
      <c r="H17" s="52"/>
      <c r="I17" s="72"/>
      <c r="J17" s="73"/>
      <c r="K17" s="67"/>
      <c r="L17" s="74"/>
    </row>
    <row r="18" spans="1:12" ht="24" customHeight="1" x14ac:dyDescent="0.35">
      <c r="A18" s="66" t="str">
        <f t="shared" si="0"/>
        <v/>
      </c>
      <c r="B18" s="67"/>
      <c r="C18" s="68"/>
      <c r="D18" s="68"/>
      <c r="E18" s="69"/>
      <c r="F18" s="70"/>
      <c r="G18" s="71"/>
      <c r="H18" s="52"/>
      <c r="I18" s="72"/>
      <c r="J18" s="73"/>
      <c r="K18" s="67"/>
      <c r="L18" s="74"/>
    </row>
    <row r="19" spans="1:12" ht="24" customHeight="1" x14ac:dyDescent="0.35">
      <c r="A19" s="66" t="str">
        <f t="shared" si="0"/>
        <v/>
      </c>
      <c r="B19" s="67"/>
      <c r="C19" s="68"/>
      <c r="D19" s="68"/>
      <c r="E19" s="69"/>
      <c r="F19" s="70"/>
      <c r="G19" s="71"/>
      <c r="H19" s="52"/>
      <c r="I19" s="72"/>
      <c r="J19" s="73"/>
      <c r="K19" s="67"/>
      <c r="L19" s="74"/>
    </row>
    <row r="20" spans="1:12" ht="24" customHeight="1" x14ac:dyDescent="0.35">
      <c r="A20" s="66" t="str">
        <f t="shared" si="0"/>
        <v/>
      </c>
      <c r="B20" s="67"/>
      <c r="C20" s="68"/>
      <c r="D20" s="68"/>
      <c r="E20" s="69"/>
      <c r="F20" s="70"/>
      <c r="G20" s="71"/>
      <c r="H20" s="52"/>
      <c r="I20" s="72"/>
      <c r="J20" s="73"/>
      <c r="K20" s="67"/>
      <c r="L20" s="74"/>
    </row>
    <row r="21" spans="1:12" ht="24" customHeight="1" x14ac:dyDescent="0.35">
      <c r="A21" s="66" t="str">
        <f t="shared" si="0"/>
        <v/>
      </c>
      <c r="B21" s="67"/>
      <c r="C21" s="68"/>
      <c r="D21" s="68"/>
      <c r="E21" s="69"/>
      <c r="F21" s="70"/>
      <c r="G21" s="71"/>
      <c r="H21" s="52"/>
      <c r="I21" s="72"/>
      <c r="J21" s="73"/>
      <c r="K21" s="67"/>
      <c r="L21" s="74"/>
    </row>
    <row r="22" spans="1:12" ht="24" customHeight="1" x14ac:dyDescent="0.35">
      <c r="A22" s="66" t="str">
        <f t="shared" si="0"/>
        <v/>
      </c>
      <c r="B22" s="67"/>
      <c r="C22" s="68"/>
      <c r="D22" s="68"/>
      <c r="E22" s="69"/>
      <c r="F22" s="70"/>
      <c r="G22" s="71"/>
      <c r="H22" s="52"/>
      <c r="I22" s="72"/>
      <c r="J22" s="73"/>
      <c r="K22" s="67"/>
      <c r="L22" s="74"/>
    </row>
    <row r="23" spans="1:12" ht="24" customHeight="1" x14ac:dyDescent="0.35">
      <c r="A23" s="66" t="str">
        <f t="shared" si="0"/>
        <v/>
      </c>
      <c r="B23" s="67"/>
      <c r="C23" s="68"/>
      <c r="D23" s="68"/>
      <c r="E23" s="69"/>
      <c r="F23" s="70"/>
      <c r="G23" s="71"/>
      <c r="H23" s="52"/>
      <c r="I23" s="72"/>
      <c r="J23" s="73"/>
      <c r="K23" s="67"/>
      <c r="L23" s="74"/>
    </row>
    <row r="24" spans="1:12" ht="24" customHeight="1" x14ac:dyDescent="0.35">
      <c r="A24" s="66" t="str">
        <f t="shared" si="0"/>
        <v/>
      </c>
      <c r="B24" s="67"/>
      <c r="C24" s="68"/>
      <c r="D24" s="68"/>
      <c r="E24" s="69"/>
      <c r="F24" s="70"/>
      <c r="G24" s="71"/>
      <c r="H24" s="52"/>
      <c r="I24" s="72"/>
      <c r="J24" s="73"/>
      <c r="K24" s="67"/>
      <c r="L24" s="74"/>
    </row>
    <row r="25" spans="1:12" ht="24" customHeight="1" x14ac:dyDescent="0.35">
      <c r="A25" s="66" t="str">
        <f t="shared" si="0"/>
        <v/>
      </c>
      <c r="B25" s="67"/>
      <c r="C25" s="68"/>
      <c r="D25" s="68"/>
      <c r="E25" s="69"/>
      <c r="F25" s="70"/>
      <c r="G25" s="71"/>
      <c r="H25" s="52"/>
      <c r="I25" s="72"/>
      <c r="J25" s="73"/>
      <c r="K25" s="67"/>
      <c r="L25" s="74"/>
    </row>
    <row r="26" spans="1:12" ht="24" customHeight="1" x14ac:dyDescent="0.35">
      <c r="A26" s="66" t="str">
        <f t="shared" si="0"/>
        <v/>
      </c>
      <c r="B26" s="67"/>
      <c r="C26" s="68"/>
      <c r="D26" s="68"/>
      <c r="E26" s="69"/>
      <c r="F26" s="70"/>
      <c r="G26" s="71"/>
      <c r="H26" s="52"/>
      <c r="I26" s="72"/>
      <c r="J26" s="73"/>
      <c r="K26" s="67"/>
      <c r="L26" s="74"/>
    </row>
    <row r="27" spans="1:12" ht="24" customHeight="1" x14ac:dyDescent="0.35">
      <c r="A27" s="66" t="str">
        <f t="shared" si="0"/>
        <v/>
      </c>
      <c r="B27" s="67"/>
      <c r="C27" s="68"/>
      <c r="D27" s="68"/>
      <c r="E27" s="69"/>
      <c r="F27" s="70"/>
      <c r="G27" s="71"/>
      <c r="H27" s="52"/>
      <c r="I27" s="72"/>
      <c r="J27" s="73"/>
      <c r="K27" s="67"/>
      <c r="L27" s="74"/>
    </row>
    <row r="28" spans="1:12" ht="24" customHeight="1" x14ac:dyDescent="0.35">
      <c r="A28" s="66" t="str">
        <f t="shared" si="0"/>
        <v/>
      </c>
      <c r="B28" s="67"/>
      <c r="C28" s="68"/>
      <c r="D28" s="68"/>
      <c r="E28" s="69"/>
      <c r="F28" s="70"/>
      <c r="G28" s="71"/>
      <c r="H28" s="52"/>
      <c r="I28" s="72"/>
      <c r="J28" s="73"/>
      <c r="K28" s="67"/>
      <c r="L28" s="74"/>
    </row>
    <row r="29" spans="1:12" ht="24" customHeight="1" x14ac:dyDescent="0.35">
      <c r="A29" s="66" t="str">
        <f t="shared" si="0"/>
        <v/>
      </c>
      <c r="B29" s="67"/>
      <c r="C29" s="68"/>
      <c r="D29" s="68"/>
      <c r="E29" s="69"/>
      <c r="F29" s="70"/>
      <c r="G29" s="71"/>
      <c r="H29" s="52"/>
      <c r="I29" s="72"/>
      <c r="J29" s="73"/>
      <c r="K29" s="67"/>
      <c r="L29" s="74"/>
    </row>
    <row r="30" spans="1:12" ht="24" customHeight="1" x14ac:dyDescent="0.35">
      <c r="A30" s="66" t="str">
        <f t="shared" si="0"/>
        <v/>
      </c>
      <c r="B30" s="67"/>
      <c r="C30" s="68"/>
      <c r="D30" s="68"/>
      <c r="E30" s="69"/>
      <c r="F30" s="70"/>
      <c r="G30" s="71"/>
      <c r="H30" s="52"/>
      <c r="I30" s="72"/>
      <c r="J30" s="73"/>
      <c r="K30" s="67"/>
      <c r="L30" s="74"/>
    </row>
    <row r="31" spans="1:12" ht="24" customHeight="1" x14ac:dyDescent="0.35">
      <c r="A31" s="66" t="str">
        <f t="shared" si="0"/>
        <v/>
      </c>
      <c r="B31" s="67"/>
      <c r="C31" s="68"/>
      <c r="D31" s="68"/>
      <c r="E31" s="69"/>
      <c r="F31" s="70"/>
      <c r="G31" s="71"/>
      <c r="H31" s="52"/>
      <c r="I31" s="72"/>
      <c r="J31" s="73"/>
      <c r="K31" s="67"/>
      <c r="L31" s="74"/>
    </row>
    <row r="32" spans="1:12" ht="24" customHeight="1" x14ac:dyDescent="0.35">
      <c r="A32" s="66" t="str">
        <f t="shared" si="0"/>
        <v/>
      </c>
      <c r="B32" s="67"/>
      <c r="C32" s="68"/>
      <c r="D32" s="68"/>
      <c r="E32" s="69"/>
      <c r="F32" s="70"/>
      <c r="G32" s="71"/>
      <c r="H32" s="52"/>
      <c r="I32" s="72"/>
      <c r="J32" s="73"/>
      <c r="K32" s="67"/>
      <c r="L32" s="74"/>
    </row>
    <row r="33" spans="1:12" ht="24" customHeight="1" x14ac:dyDescent="0.35">
      <c r="A33" s="66" t="str">
        <f t="shared" si="0"/>
        <v/>
      </c>
      <c r="B33" s="67"/>
      <c r="C33" s="68"/>
      <c r="D33" s="68"/>
      <c r="E33" s="69"/>
      <c r="F33" s="70"/>
      <c r="G33" s="71"/>
      <c r="H33" s="52"/>
      <c r="I33" s="72"/>
      <c r="J33" s="73"/>
      <c r="K33" s="67"/>
      <c r="L33" s="74"/>
    </row>
    <row r="34" spans="1:12" ht="24" customHeight="1" x14ac:dyDescent="0.35">
      <c r="A34" s="66" t="str">
        <f t="shared" si="0"/>
        <v/>
      </c>
      <c r="B34" s="67"/>
      <c r="C34" s="68"/>
      <c r="D34" s="68"/>
      <c r="E34" s="69"/>
      <c r="F34" s="70"/>
      <c r="G34" s="71"/>
      <c r="H34" s="52"/>
      <c r="I34" s="72"/>
      <c r="J34" s="73"/>
      <c r="K34" s="67"/>
      <c r="L34" s="74"/>
    </row>
    <row r="35" spans="1:12" ht="24" customHeight="1" x14ac:dyDescent="0.35">
      <c r="A35" s="66" t="str">
        <f t="shared" si="0"/>
        <v/>
      </c>
      <c r="B35" s="67"/>
      <c r="C35" s="68"/>
      <c r="D35" s="68"/>
      <c r="E35" s="69"/>
      <c r="F35" s="70"/>
      <c r="G35" s="71"/>
      <c r="H35" s="52"/>
      <c r="I35" s="72"/>
      <c r="J35" s="73"/>
      <c r="K35" s="67"/>
      <c r="L35" s="74"/>
    </row>
    <row r="36" spans="1:12" ht="24" customHeight="1" x14ac:dyDescent="0.35">
      <c r="A36" s="66" t="str">
        <f t="shared" si="0"/>
        <v/>
      </c>
      <c r="B36" s="67"/>
      <c r="C36" s="68"/>
      <c r="D36" s="68"/>
      <c r="E36" s="69"/>
      <c r="F36" s="70"/>
      <c r="G36" s="71"/>
      <c r="H36" s="52"/>
      <c r="I36" s="72"/>
      <c r="J36" s="73"/>
      <c r="K36" s="67"/>
      <c r="L36" s="74"/>
    </row>
    <row r="37" spans="1:12" ht="24" customHeight="1" x14ac:dyDescent="0.35">
      <c r="A37" s="66" t="str">
        <f t="shared" si="0"/>
        <v/>
      </c>
      <c r="B37" s="67"/>
      <c r="C37" s="68"/>
      <c r="D37" s="68"/>
      <c r="E37" s="69"/>
      <c r="F37" s="70"/>
      <c r="G37" s="71"/>
      <c r="H37" s="52"/>
      <c r="I37" s="72"/>
      <c r="J37" s="73"/>
      <c r="K37" s="67"/>
      <c r="L37" s="74"/>
    </row>
    <row r="38" spans="1:12" ht="24" customHeight="1" x14ac:dyDescent="0.35">
      <c r="A38" s="66" t="str">
        <f t="shared" si="0"/>
        <v/>
      </c>
      <c r="B38" s="67"/>
      <c r="C38" s="68"/>
      <c r="D38" s="68"/>
      <c r="E38" s="69"/>
      <c r="F38" s="70"/>
      <c r="G38" s="71"/>
      <c r="H38" s="52"/>
      <c r="I38" s="72"/>
      <c r="J38" s="73"/>
      <c r="K38" s="67"/>
      <c r="L38" s="74"/>
    </row>
    <row r="39" spans="1:12" ht="24" customHeight="1" x14ac:dyDescent="0.35">
      <c r="A39" s="66" t="str">
        <f t="shared" si="0"/>
        <v/>
      </c>
      <c r="B39" s="67"/>
      <c r="C39" s="68"/>
      <c r="D39" s="68"/>
      <c r="E39" s="69"/>
      <c r="F39" s="70"/>
      <c r="G39" s="71"/>
      <c r="H39" s="52"/>
      <c r="I39" s="72"/>
      <c r="J39" s="73"/>
      <c r="K39" s="67"/>
      <c r="L39" s="74"/>
    </row>
    <row r="40" spans="1:12" ht="24" customHeight="1" x14ac:dyDescent="0.35">
      <c r="A40" s="66" t="str">
        <f t="shared" si="0"/>
        <v/>
      </c>
      <c r="B40" s="67"/>
      <c r="C40" s="68"/>
      <c r="D40" s="68"/>
      <c r="E40" s="69"/>
      <c r="F40" s="70"/>
      <c r="G40" s="71"/>
      <c r="H40" s="52"/>
      <c r="I40" s="72"/>
      <c r="J40" s="73"/>
      <c r="K40" s="67"/>
      <c r="L40" s="74"/>
    </row>
    <row r="41" spans="1:12" ht="24" customHeight="1" x14ac:dyDescent="0.35">
      <c r="A41" s="66" t="str">
        <f t="shared" si="0"/>
        <v/>
      </c>
      <c r="B41" s="67"/>
      <c r="C41" s="68"/>
      <c r="D41" s="68"/>
      <c r="E41" s="69"/>
      <c r="F41" s="70"/>
      <c r="G41" s="71"/>
      <c r="H41" s="52"/>
      <c r="I41" s="72"/>
      <c r="J41" s="73"/>
      <c r="K41" s="67"/>
      <c r="L41" s="74"/>
    </row>
    <row r="42" spans="1:12" ht="24" customHeight="1" x14ac:dyDescent="0.35">
      <c r="A42" s="66" t="str">
        <f t="shared" si="0"/>
        <v/>
      </c>
      <c r="B42" s="67"/>
      <c r="C42" s="68"/>
      <c r="D42" s="68"/>
      <c r="E42" s="69"/>
      <c r="F42" s="70"/>
      <c r="G42" s="71"/>
      <c r="H42" s="52"/>
      <c r="I42" s="72"/>
      <c r="J42" s="73"/>
      <c r="K42" s="67"/>
      <c r="L42" s="74"/>
    </row>
    <row r="43" spans="1:12" ht="24" customHeight="1" x14ac:dyDescent="0.35">
      <c r="A43" s="66" t="str">
        <f t="shared" si="0"/>
        <v/>
      </c>
      <c r="B43" s="67"/>
      <c r="C43" s="68"/>
      <c r="D43" s="68"/>
      <c r="E43" s="69"/>
      <c r="F43" s="70"/>
      <c r="G43" s="71"/>
      <c r="H43" s="52"/>
      <c r="I43" s="72"/>
      <c r="J43" s="73"/>
      <c r="K43" s="67"/>
      <c r="L43" s="74"/>
    </row>
    <row r="44" spans="1:12" ht="24" customHeight="1" x14ac:dyDescent="0.35">
      <c r="A44" s="66" t="str">
        <f t="shared" si="0"/>
        <v/>
      </c>
      <c r="B44" s="67"/>
      <c r="C44" s="68"/>
      <c r="D44" s="68"/>
      <c r="E44" s="69"/>
      <c r="F44" s="70"/>
      <c r="G44" s="71"/>
      <c r="H44" s="52"/>
      <c r="I44" s="72"/>
      <c r="J44" s="73"/>
      <c r="K44" s="67"/>
      <c r="L44" s="74"/>
    </row>
    <row r="45" spans="1:12" ht="24" customHeight="1" x14ac:dyDescent="0.35">
      <c r="A45" s="66" t="str">
        <f t="shared" si="0"/>
        <v/>
      </c>
      <c r="B45" s="67"/>
      <c r="C45" s="68"/>
      <c r="D45" s="68"/>
      <c r="E45" s="69"/>
      <c r="F45" s="70"/>
      <c r="G45" s="71"/>
      <c r="H45" s="52"/>
      <c r="I45" s="72"/>
      <c r="J45" s="73"/>
      <c r="K45" s="67"/>
      <c r="L45" s="74"/>
    </row>
    <row r="46" spans="1:12" ht="24" customHeight="1" x14ac:dyDescent="0.35">
      <c r="A46" s="66" t="str">
        <f t="shared" si="0"/>
        <v/>
      </c>
      <c r="B46" s="67"/>
      <c r="C46" s="68"/>
      <c r="D46" s="68"/>
      <c r="E46" s="69"/>
      <c r="F46" s="70"/>
      <c r="G46" s="71"/>
      <c r="H46" s="52"/>
      <c r="I46" s="72"/>
      <c r="J46" s="73"/>
      <c r="K46" s="67"/>
      <c r="L46" s="74"/>
    </row>
    <row r="47" spans="1:12" ht="24" customHeight="1" x14ac:dyDescent="0.35">
      <c r="A47" s="66" t="str">
        <f t="shared" si="0"/>
        <v/>
      </c>
      <c r="B47" s="67"/>
      <c r="C47" s="68"/>
      <c r="D47" s="68"/>
      <c r="E47" s="69"/>
      <c r="F47" s="70"/>
      <c r="G47" s="71"/>
      <c r="H47" s="52"/>
      <c r="I47" s="72"/>
      <c r="J47" s="73"/>
      <c r="K47" s="67"/>
      <c r="L47" s="74"/>
    </row>
    <row r="48" spans="1:12" ht="24" customHeight="1" x14ac:dyDescent="0.35">
      <c r="A48" s="66" t="str">
        <f t="shared" si="0"/>
        <v/>
      </c>
      <c r="B48" s="67"/>
      <c r="C48" s="68"/>
      <c r="D48" s="68"/>
      <c r="E48" s="69"/>
      <c r="F48" s="70"/>
      <c r="G48" s="71"/>
      <c r="H48" s="52"/>
      <c r="I48" s="72"/>
      <c r="J48" s="73"/>
      <c r="K48" s="67"/>
      <c r="L48" s="74"/>
    </row>
    <row r="49" spans="1:12" ht="24" customHeight="1" x14ac:dyDescent="0.35">
      <c r="A49" s="66" t="str">
        <f t="shared" si="0"/>
        <v/>
      </c>
      <c r="B49" s="67"/>
      <c r="C49" s="68"/>
      <c r="D49" s="68"/>
      <c r="E49" s="69"/>
      <c r="F49" s="70"/>
      <c r="G49" s="71"/>
      <c r="H49" s="52"/>
      <c r="I49" s="72"/>
      <c r="J49" s="73"/>
      <c r="K49" s="67"/>
      <c r="L49" s="74"/>
    </row>
    <row r="50" spans="1:12" ht="24" customHeight="1" x14ac:dyDescent="0.35">
      <c r="A50" s="66" t="str">
        <f t="shared" si="0"/>
        <v/>
      </c>
      <c r="B50" s="67"/>
      <c r="C50" s="68"/>
      <c r="D50" s="68"/>
      <c r="E50" s="69"/>
      <c r="F50" s="70"/>
      <c r="G50" s="71"/>
      <c r="H50" s="52"/>
      <c r="I50" s="72"/>
      <c r="J50" s="73"/>
      <c r="K50" s="67"/>
      <c r="L50" s="74"/>
    </row>
    <row r="51" spans="1:12" ht="24" customHeight="1" x14ac:dyDescent="0.35">
      <c r="A51" s="66" t="str">
        <f t="shared" si="0"/>
        <v/>
      </c>
      <c r="B51" s="67"/>
      <c r="C51" s="68"/>
      <c r="D51" s="68"/>
      <c r="E51" s="69"/>
      <c r="F51" s="70"/>
      <c r="G51" s="71"/>
      <c r="H51" s="52"/>
      <c r="I51" s="72"/>
      <c r="J51" s="73"/>
      <c r="K51" s="67"/>
      <c r="L51" s="74"/>
    </row>
    <row r="52" spans="1:12" ht="24" customHeight="1" x14ac:dyDescent="0.35">
      <c r="A52" s="66" t="str">
        <f t="shared" si="0"/>
        <v/>
      </c>
      <c r="B52" s="67"/>
      <c r="C52" s="68"/>
      <c r="D52" s="68"/>
      <c r="E52" s="69"/>
      <c r="F52" s="70"/>
      <c r="G52" s="71"/>
      <c r="H52" s="52"/>
      <c r="I52" s="72"/>
      <c r="J52" s="73"/>
      <c r="K52" s="67"/>
      <c r="L52" s="74"/>
    </row>
    <row r="53" spans="1:12" ht="24" customHeight="1" x14ac:dyDescent="0.35">
      <c r="A53" s="66" t="str">
        <f t="shared" si="0"/>
        <v/>
      </c>
      <c r="B53" s="67"/>
      <c r="C53" s="68"/>
      <c r="D53" s="68"/>
      <c r="E53" s="69"/>
      <c r="F53" s="70"/>
      <c r="G53" s="71"/>
      <c r="H53" s="52"/>
      <c r="I53" s="72"/>
      <c r="J53" s="73"/>
      <c r="K53" s="67"/>
      <c r="L53" s="74"/>
    </row>
    <row r="54" spans="1:12" ht="24" customHeight="1" x14ac:dyDescent="0.35">
      <c r="A54" s="66" t="str">
        <f t="shared" si="0"/>
        <v/>
      </c>
      <c r="B54" s="67"/>
      <c r="C54" s="68"/>
      <c r="D54" s="68"/>
      <c r="E54" s="69"/>
      <c r="F54" s="70"/>
      <c r="G54" s="71"/>
      <c r="H54" s="52"/>
      <c r="I54" s="72"/>
      <c r="J54" s="73"/>
      <c r="K54" s="67"/>
      <c r="L54" s="74"/>
    </row>
    <row r="55" spans="1:12" ht="24" customHeight="1" x14ac:dyDescent="0.35">
      <c r="A55" s="66" t="str">
        <f t="shared" si="0"/>
        <v/>
      </c>
      <c r="B55" s="67"/>
      <c r="C55" s="68"/>
      <c r="D55" s="68"/>
      <c r="E55" s="69"/>
      <c r="F55" s="70"/>
      <c r="G55" s="71"/>
      <c r="H55" s="52"/>
      <c r="I55" s="72"/>
      <c r="J55" s="73"/>
      <c r="K55" s="67"/>
      <c r="L55" s="74"/>
    </row>
    <row r="56" spans="1:12" ht="24" customHeight="1" x14ac:dyDescent="0.35">
      <c r="A56" s="66" t="str">
        <f t="shared" si="0"/>
        <v/>
      </c>
      <c r="B56" s="67"/>
      <c r="C56" s="68"/>
      <c r="D56" s="68"/>
      <c r="E56" s="69"/>
      <c r="F56" s="70"/>
      <c r="G56" s="71"/>
      <c r="H56" s="52"/>
      <c r="I56" s="72"/>
      <c r="J56" s="73"/>
      <c r="K56" s="67"/>
      <c r="L56" s="74"/>
    </row>
    <row r="57" spans="1:12" ht="24" customHeight="1" x14ac:dyDescent="0.35">
      <c r="A57" s="66" t="str">
        <f t="shared" si="0"/>
        <v/>
      </c>
      <c r="B57" s="67"/>
      <c r="C57" s="68"/>
      <c r="D57" s="68"/>
      <c r="E57" s="69"/>
      <c r="F57" s="70"/>
      <c r="G57" s="71"/>
      <c r="H57" s="52"/>
      <c r="I57" s="72"/>
      <c r="J57" s="73"/>
      <c r="K57" s="67"/>
      <c r="L57" s="74"/>
    </row>
    <row r="58" spans="1:12" ht="24" customHeight="1" x14ac:dyDescent="0.35">
      <c r="A58" s="66" t="str">
        <f t="shared" si="0"/>
        <v/>
      </c>
      <c r="B58" s="67"/>
      <c r="C58" s="68"/>
      <c r="D58" s="68"/>
      <c r="E58" s="69"/>
      <c r="F58" s="70"/>
      <c r="G58" s="71"/>
      <c r="H58" s="52"/>
      <c r="I58" s="72"/>
      <c r="J58" s="73"/>
      <c r="K58" s="67"/>
      <c r="L58" s="74"/>
    </row>
    <row r="59" spans="1:12" ht="24" customHeight="1" x14ac:dyDescent="0.35">
      <c r="A59" s="66" t="str">
        <f t="shared" si="0"/>
        <v/>
      </c>
      <c r="B59" s="67"/>
      <c r="C59" s="68"/>
      <c r="D59" s="68"/>
      <c r="E59" s="69"/>
      <c r="F59" s="70"/>
      <c r="G59" s="71"/>
      <c r="H59" s="52"/>
      <c r="I59" s="72"/>
      <c r="J59" s="73"/>
      <c r="K59" s="67"/>
      <c r="L59" s="74"/>
    </row>
    <row r="60" spans="1:12" ht="24" customHeight="1" x14ac:dyDescent="0.35">
      <c r="A60" s="66" t="str">
        <f t="shared" si="0"/>
        <v/>
      </c>
      <c r="B60" s="67"/>
      <c r="C60" s="68"/>
      <c r="D60" s="68"/>
      <c r="E60" s="69"/>
      <c r="F60" s="70"/>
      <c r="G60" s="71"/>
      <c r="H60" s="52"/>
      <c r="I60" s="72"/>
      <c r="J60" s="73"/>
      <c r="K60" s="67"/>
      <c r="L60" s="74"/>
    </row>
    <row r="61" spans="1:12" ht="24" customHeight="1" x14ac:dyDescent="0.35">
      <c r="A61" s="66" t="str">
        <f t="shared" si="0"/>
        <v/>
      </c>
      <c r="B61" s="67"/>
      <c r="C61" s="68"/>
      <c r="D61" s="68"/>
      <c r="E61" s="69"/>
      <c r="F61" s="70"/>
      <c r="G61" s="71"/>
      <c r="H61" s="52"/>
      <c r="I61" s="72"/>
      <c r="J61" s="73"/>
      <c r="K61" s="67"/>
      <c r="L61" s="74"/>
    </row>
    <row r="62" spans="1:12" ht="24" customHeight="1" x14ac:dyDescent="0.35">
      <c r="A62" s="66" t="str">
        <f t="shared" si="0"/>
        <v/>
      </c>
      <c r="B62" s="67"/>
      <c r="C62" s="68"/>
      <c r="D62" s="68"/>
      <c r="E62" s="69"/>
      <c r="F62" s="70"/>
      <c r="G62" s="71"/>
      <c r="H62" s="52"/>
      <c r="I62" s="72"/>
      <c r="J62" s="73"/>
      <c r="K62" s="67"/>
      <c r="L62" s="74"/>
    </row>
    <row r="63" spans="1:12" ht="24" customHeight="1" x14ac:dyDescent="0.35">
      <c r="A63" s="66" t="str">
        <f t="shared" si="0"/>
        <v/>
      </c>
      <c r="B63" s="67"/>
      <c r="C63" s="68"/>
      <c r="D63" s="68"/>
      <c r="E63" s="69"/>
      <c r="F63" s="70"/>
      <c r="G63" s="71"/>
      <c r="H63" s="52"/>
      <c r="I63" s="72"/>
      <c r="J63" s="73"/>
      <c r="K63" s="67"/>
      <c r="L63" s="74"/>
    </row>
    <row r="64" spans="1:12" ht="24" customHeight="1" x14ac:dyDescent="0.35">
      <c r="A64" s="66" t="str">
        <f t="shared" si="0"/>
        <v/>
      </c>
      <c r="B64" s="67"/>
      <c r="C64" s="68"/>
      <c r="D64" s="68"/>
      <c r="E64" s="69"/>
      <c r="F64" s="70"/>
      <c r="G64" s="71"/>
      <c r="H64" s="52"/>
      <c r="I64" s="72"/>
      <c r="J64" s="73"/>
      <c r="K64" s="67"/>
      <c r="L64" s="74"/>
    </row>
    <row r="65" spans="1:12" ht="24" customHeight="1" x14ac:dyDescent="0.35">
      <c r="A65" s="66" t="str">
        <f t="shared" si="0"/>
        <v/>
      </c>
      <c r="B65" s="67"/>
      <c r="C65" s="68"/>
      <c r="D65" s="68"/>
      <c r="E65" s="69"/>
      <c r="F65" s="70"/>
      <c r="G65" s="71"/>
      <c r="H65" s="52"/>
      <c r="I65" s="72"/>
      <c r="J65" s="73"/>
      <c r="K65" s="67"/>
      <c r="L65" s="74"/>
    </row>
    <row r="66" spans="1:12" ht="24" customHeight="1" x14ac:dyDescent="0.35">
      <c r="A66" s="66" t="str">
        <f t="shared" si="0"/>
        <v/>
      </c>
      <c r="B66" s="67"/>
      <c r="C66" s="68"/>
      <c r="D66" s="68"/>
      <c r="E66" s="69"/>
      <c r="F66" s="70"/>
      <c r="G66" s="71"/>
      <c r="H66" s="52"/>
      <c r="I66" s="72"/>
      <c r="J66" s="73"/>
      <c r="K66" s="67"/>
      <c r="L66" s="74"/>
    </row>
    <row r="67" spans="1:12" ht="24" customHeight="1" x14ac:dyDescent="0.35">
      <c r="A67" s="66" t="str">
        <f t="shared" si="0"/>
        <v/>
      </c>
      <c r="B67" s="67"/>
      <c r="C67" s="68"/>
      <c r="D67" s="68"/>
      <c r="E67" s="69"/>
      <c r="F67" s="70"/>
      <c r="G67" s="71"/>
      <c r="H67" s="52"/>
      <c r="I67" s="72"/>
      <c r="J67" s="73"/>
      <c r="K67" s="67"/>
      <c r="L67" s="74"/>
    </row>
    <row r="68" spans="1:12" ht="24" customHeight="1" x14ac:dyDescent="0.35">
      <c r="A68" s="66" t="str">
        <f t="shared" si="0"/>
        <v/>
      </c>
      <c r="B68" s="67"/>
      <c r="C68" s="68"/>
      <c r="D68" s="68"/>
      <c r="E68" s="69"/>
      <c r="F68" s="70"/>
      <c r="G68" s="71"/>
      <c r="H68" s="52"/>
      <c r="I68" s="72"/>
      <c r="J68" s="73"/>
      <c r="K68" s="67"/>
      <c r="L68" s="74"/>
    </row>
    <row r="69" spans="1:12" ht="24" customHeight="1" x14ac:dyDescent="0.35">
      <c r="A69" s="66" t="str">
        <f t="shared" si="0"/>
        <v/>
      </c>
      <c r="B69" s="67"/>
      <c r="C69" s="68"/>
      <c r="D69" s="68"/>
      <c r="E69" s="69"/>
      <c r="F69" s="70"/>
      <c r="G69" s="71"/>
      <c r="H69" s="52"/>
      <c r="I69" s="72"/>
      <c r="J69" s="73"/>
      <c r="K69" s="67"/>
      <c r="L69" s="74"/>
    </row>
    <row r="70" spans="1:12" ht="24" customHeight="1" x14ac:dyDescent="0.35">
      <c r="A70" s="66" t="str">
        <f t="shared" si="0"/>
        <v/>
      </c>
      <c r="B70" s="67"/>
      <c r="C70" s="68"/>
      <c r="D70" s="68"/>
      <c r="E70" s="69"/>
      <c r="F70" s="70"/>
      <c r="G70" s="71"/>
      <c r="H70" s="52"/>
      <c r="I70" s="72"/>
      <c r="J70" s="73"/>
      <c r="K70" s="67"/>
      <c r="L70" s="74"/>
    </row>
    <row r="71" spans="1:12" ht="24" customHeight="1" x14ac:dyDescent="0.35">
      <c r="A71" s="66" t="str">
        <f t="shared" ref="A71:A134" si="1">IF($D71="","",ROW()-6)</f>
        <v/>
      </c>
      <c r="B71" s="67"/>
      <c r="C71" s="68"/>
      <c r="D71" s="68"/>
      <c r="E71" s="69"/>
      <c r="F71" s="70"/>
      <c r="G71" s="71"/>
      <c r="H71" s="52"/>
      <c r="I71" s="72"/>
      <c r="J71" s="73"/>
      <c r="K71" s="67"/>
      <c r="L71" s="74"/>
    </row>
    <row r="72" spans="1:12" ht="24" customHeight="1" x14ac:dyDescent="0.35">
      <c r="A72" s="66" t="str">
        <f t="shared" si="1"/>
        <v/>
      </c>
      <c r="B72" s="67"/>
      <c r="C72" s="68"/>
      <c r="D72" s="68"/>
      <c r="E72" s="69"/>
      <c r="F72" s="70"/>
      <c r="G72" s="71"/>
      <c r="H72" s="52"/>
      <c r="I72" s="72"/>
      <c r="J72" s="73"/>
      <c r="K72" s="67"/>
      <c r="L72" s="74"/>
    </row>
    <row r="73" spans="1:12" ht="24" customHeight="1" x14ac:dyDescent="0.35">
      <c r="A73" s="66" t="str">
        <f t="shared" si="1"/>
        <v/>
      </c>
      <c r="B73" s="67"/>
      <c r="C73" s="68"/>
      <c r="D73" s="68"/>
      <c r="E73" s="69"/>
      <c r="F73" s="70"/>
      <c r="G73" s="71"/>
      <c r="H73" s="52"/>
      <c r="I73" s="72"/>
      <c r="J73" s="73"/>
      <c r="K73" s="67"/>
      <c r="L73" s="74"/>
    </row>
    <row r="74" spans="1:12" ht="24" customHeight="1" x14ac:dyDescent="0.35">
      <c r="A74" s="66" t="str">
        <f t="shared" si="1"/>
        <v/>
      </c>
      <c r="B74" s="67"/>
      <c r="C74" s="68"/>
      <c r="D74" s="68"/>
      <c r="E74" s="69"/>
      <c r="F74" s="70"/>
      <c r="G74" s="71"/>
      <c r="H74" s="52"/>
      <c r="I74" s="72"/>
      <c r="J74" s="73"/>
      <c r="K74" s="67"/>
      <c r="L74" s="74"/>
    </row>
    <row r="75" spans="1:12" ht="24" customHeight="1" x14ac:dyDescent="0.35">
      <c r="A75" s="66" t="str">
        <f t="shared" si="1"/>
        <v/>
      </c>
      <c r="B75" s="67"/>
      <c r="C75" s="68"/>
      <c r="D75" s="68"/>
      <c r="E75" s="69"/>
      <c r="F75" s="70"/>
      <c r="G75" s="71"/>
      <c r="H75" s="52"/>
      <c r="I75" s="72"/>
      <c r="J75" s="73"/>
      <c r="K75" s="67"/>
      <c r="L75" s="74"/>
    </row>
    <row r="76" spans="1:12" ht="24" customHeight="1" x14ac:dyDescent="0.35">
      <c r="A76" s="66" t="str">
        <f t="shared" si="1"/>
        <v/>
      </c>
      <c r="B76" s="67"/>
      <c r="C76" s="68"/>
      <c r="D76" s="68"/>
      <c r="E76" s="69"/>
      <c r="F76" s="70"/>
      <c r="G76" s="71"/>
      <c r="H76" s="52"/>
      <c r="I76" s="72"/>
      <c r="J76" s="73"/>
      <c r="K76" s="67"/>
      <c r="L76" s="74"/>
    </row>
    <row r="77" spans="1:12" ht="24" customHeight="1" x14ac:dyDescent="0.35">
      <c r="A77" s="66" t="str">
        <f t="shared" si="1"/>
        <v/>
      </c>
      <c r="B77" s="67"/>
      <c r="C77" s="68"/>
      <c r="D77" s="68"/>
      <c r="E77" s="69"/>
      <c r="F77" s="70"/>
      <c r="G77" s="71"/>
      <c r="H77" s="52"/>
      <c r="I77" s="72"/>
      <c r="J77" s="73"/>
      <c r="K77" s="67"/>
      <c r="L77" s="74"/>
    </row>
    <row r="78" spans="1:12" ht="24" customHeight="1" x14ac:dyDescent="0.35">
      <c r="A78" s="66" t="str">
        <f t="shared" si="1"/>
        <v/>
      </c>
      <c r="B78" s="67"/>
      <c r="C78" s="68"/>
      <c r="D78" s="68"/>
      <c r="E78" s="69"/>
      <c r="F78" s="70"/>
      <c r="G78" s="71"/>
      <c r="H78" s="52"/>
      <c r="I78" s="72"/>
      <c r="J78" s="73"/>
      <c r="K78" s="67"/>
      <c r="L78" s="74"/>
    </row>
    <row r="79" spans="1:12" ht="24" customHeight="1" x14ac:dyDescent="0.35">
      <c r="A79" s="66" t="str">
        <f t="shared" si="1"/>
        <v/>
      </c>
      <c r="B79" s="67"/>
      <c r="C79" s="68"/>
      <c r="D79" s="68"/>
      <c r="E79" s="69"/>
      <c r="F79" s="70"/>
      <c r="G79" s="71"/>
      <c r="H79" s="52"/>
      <c r="I79" s="72"/>
      <c r="J79" s="73"/>
      <c r="K79" s="67"/>
      <c r="L79" s="74"/>
    </row>
    <row r="80" spans="1:12" ht="24" customHeight="1" x14ac:dyDescent="0.35">
      <c r="A80" s="66" t="str">
        <f t="shared" si="1"/>
        <v/>
      </c>
      <c r="B80" s="67"/>
      <c r="C80" s="68"/>
      <c r="D80" s="68"/>
      <c r="E80" s="69"/>
      <c r="F80" s="70"/>
      <c r="G80" s="71"/>
      <c r="H80" s="52"/>
      <c r="I80" s="72"/>
      <c r="J80" s="73"/>
      <c r="K80" s="67"/>
      <c r="L80" s="74"/>
    </row>
    <row r="81" spans="1:12" ht="24" customHeight="1" x14ac:dyDescent="0.35">
      <c r="A81" s="66" t="str">
        <f t="shared" si="1"/>
        <v/>
      </c>
      <c r="B81" s="67"/>
      <c r="C81" s="68"/>
      <c r="D81" s="68"/>
      <c r="E81" s="69"/>
      <c r="F81" s="70"/>
      <c r="G81" s="71"/>
      <c r="H81" s="52"/>
      <c r="I81" s="72"/>
      <c r="J81" s="73"/>
      <c r="K81" s="67"/>
      <c r="L81" s="74"/>
    </row>
    <row r="82" spans="1:12" ht="24" customHeight="1" x14ac:dyDescent="0.35">
      <c r="A82" s="66" t="str">
        <f t="shared" si="1"/>
        <v/>
      </c>
      <c r="B82" s="67"/>
      <c r="C82" s="68"/>
      <c r="D82" s="68"/>
      <c r="E82" s="69"/>
      <c r="F82" s="70"/>
      <c r="G82" s="71"/>
      <c r="H82" s="52"/>
      <c r="I82" s="72"/>
      <c r="J82" s="73"/>
      <c r="K82" s="67"/>
      <c r="L82" s="74"/>
    </row>
    <row r="83" spans="1:12" ht="24" customHeight="1" x14ac:dyDescent="0.35">
      <c r="A83" s="66" t="str">
        <f t="shared" si="1"/>
        <v/>
      </c>
      <c r="B83" s="67"/>
      <c r="C83" s="68"/>
      <c r="D83" s="68"/>
      <c r="E83" s="69"/>
      <c r="F83" s="70"/>
      <c r="G83" s="71"/>
      <c r="H83" s="52"/>
      <c r="I83" s="72"/>
      <c r="J83" s="73"/>
      <c r="K83" s="67"/>
      <c r="L83" s="74"/>
    </row>
    <row r="84" spans="1:12" ht="24" customHeight="1" x14ac:dyDescent="0.35">
      <c r="A84" s="66" t="str">
        <f t="shared" si="1"/>
        <v/>
      </c>
      <c r="B84" s="67"/>
      <c r="C84" s="68"/>
      <c r="D84" s="68"/>
      <c r="E84" s="69"/>
      <c r="F84" s="70"/>
      <c r="G84" s="71"/>
      <c r="H84" s="52"/>
      <c r="I84" s="72"/>
      <c r="J84" s="73"/>
      <c r="K84" s="67"/>
      <c r="L84" s="74"/>
    </row>
    <row r="85" spans="1:12" ht="24" customHeight="1" x14ac:dyDescent="0.35">
      <c r="A85" s="66" t="str">
        <f t="shared" si="1"/>
        <v/>
      </c>
      <c r="B85" s="67"/>
      <c r="C85" s="68"/>
      <c r="D85" s="68"/>
      <c r="E85" s="69"/>
      <c r="F85" s="70"/>
      <c r="G85" s="71"/>
      <c r="H85" s="52"/>
      <c r="I85" s="72"/>
      <c r="J85" s="73"/>
      <c r="K85" s="67"/>
      <c r="L85" s="74"/>
    </row>
    <row r="86" spans="1:12" ht="24" customHeight="1" x14ac:dyDescent="0.35">
      <c r="A86" s="66" t="str">
        <f t="shared" si="1"/>
        <v/>
      </c>
      <c r="B86" s="67"/>
      <c r="C86" s="68"/>
      <c r="D86" s="68"/>
      <c r="E86" s="69"/>
      <c r="F86" s="70"/>
      <c r="G86" s="71"/>
      <c r="H86" s="52"/>
      <c r="I86" s="72"/>
      <c r="J86" s="73"/>
      <c r="K86" s="67"/>
      <c r="L86" s="74"/>
    </row>
    <row r="87" spans="1:12" ht="24" customHeight="1" x14ac:dyDescent="0.35">
      <c r="A87" s="66" t="str">
        <f t="shared" si="1"/>
        <v/>
      </c>
      <c r="B87" s="67"/>
      <c r="C87" s="68"/>
      <c r="D87" s="68"/>
      <c r="E87" s="69"/>
      <c r="F87" s="70"/>
      <c r="G87" s="71"/>
      <c r="H87" s="52"/>
      <c r="I87" s="72"/>
      <c r="J87" s="73"/>
      <c r="K87" s="67"/>
      <c r="L87" s="74"/>
    </row>
    <row r="88" spans="1:12" ht="24" customHeight="1" x14ac:dyDescent="0.35">
      <c r="A88" s="66" t="str">
        <f t="shared" si="1"/>
        <v/>
      </c>
      <c r="B88" s="67"/>
      <c r="C88" s="68"/>
      <c r="D88" s="68"/>
      <c r="E88" s="69"/>
      <c r="F88" s="70"/>
      <c r="G88" s="71"/>
      <c r="H88" s="52"/>
      <c r="I88" s="72"/>
      <c r="J88" s="73"/>
      <c r="K88" s="67"/>
      <c r="L88" s="74"/>
    </row>
    <row r="89" spans="1:12" ht="24" customHeight="1" x14ac:dyDescent="0.35">
      <c r="A89" s="66" t="str">
        <f t="shared" si="1"/>
        <v/>
      </c>
      <c r="B89" s="67"/>
      <c r="C89" s="68"/>
      <c r="D89" s="68"/>
      <c r="E89" s="69"/>
      <c r="F89" s="70"/>
      <c r="G89" s="71"/>
      <c r="H89" s="52"/>
      <c r="I89" s="72"/>
      <c r="J89" s="73"/>
      <c r="K89" s="67"/>
      <c r="L89" s="74"/>
    </row>
    <row r="90" spans="1:12" ht="24" customHeight="1" x14ac:dyDescent="0.35">
      <c r="A90" s="66" t="str">
        <f t="shared" si="1"/>
        <v/>
      </c>
      <c r="B90" s="67"/>
      <c r="C90" s="68"/>
      <c r="D90" s="68"/>
      <c r="E90" s="69"/>
      <c r="F90" s="70"/>
      <c r="G90" s="71"/>
      <c r="H90" s="52"/>
      <c r="I90" s="72"/>
      <c r="J90" s="73"/>
      <c r="K90" s="67"/>
      <c r="L90" s="74"/>
    </row>
    <row r="91" spans="1:12" ht="24" customHeight="1" x14ac:dyDescent="0.35">
      <c r="A91" s="66" t="str">
        <f t="shared" si="1"/>
        <v/>
      </c>
      <c r="B91" s="67"/>
      <c r="C91" s="68"/>
      <c r="D91" s="68"/>
      <c r="E91" s="69"/>
      <c r="F91" s="70"/>
      <c r="G91" s="71"/>
      <c r="H91" s="52"/>
      <c r="I91" s="72"/>
      <c r="J91" s="73"/>
      <c r="K91" s="67"/>
      <c r="L91" s="74"/>
    </row>
    <row r="92" spans="1:12" ht="24" customHeight="1" x14ac:dyDescent="0.35">
      <c r="A92" s="66" t="str">
        <f t="shared" si="1"/>
        <v/>
      </c>
      <c r="B92" s="67"/>
      <c r="C92" s="68"/>
      <c r="D92" s="68"/>
      <c r="E92" s="69"/>
      <c r="F92" s="70"/>
      <c r="G92" s="71"/>
      <c r="H92" s="52"/>
      <c r="I92" s="72"/>
      <c r="J92" s="73"/>
      <c r="K92" s="67"/>
      <c r="L92" s="74"/>
    </row>
    <row r="93" spans="1:12" ht="24" customHeight="1" x14ac:dyDescent="0.35">
      <c r="A93" s="66" t="str">
        <f t="shared" si="1"/>
        <v/>
      </c>
      <c r="B93" s="67"/>
      <c r="C93" s="68"/>
      <c r="D93" s="68"/>
      <c r="E93" s="69"/>
      <c r="F93" s="70"/>
      <c r="G93" s="71"/>
      <c r="H93" s="52"/>
      <c r="I93" s="72"/>
      <c r="J93" s="73"/>
      <c r="K93" s="67"/>
      <c r="L93" s="74"/>
    </row>
    <row r="94" spans="1:12" ht="24" customHeight="1" x14ac:dyDescent="0.35">
      <c r="A94" s="66" t="str">
        <f t="shared" si="1"/>
        <v/>
      </c>
      <c r="B94" s="67"/>
      <c r="C94" s="68"/>
      <c r="D94" s="68"/>
      <c r="E94" s="69"/>
      <c r="F94" s="70"/>
      <c r="G94" s="71"/>
      <c r="H94" s="52"/>
      <c r="I94" s="72"/>
      <c r="J94" s="73"/>
      <c r="K94" s="67"/>
      <c r="L94" s="74"/>
    </row>
    <row r="95" spans="1:12" ht="24" customHeight="1" x14ac:dyDescent="0.35">
      <c r="A95" s="66" t="str">
        <f t="shared" si="1"/>
        <v/>
      </c>
      <c r="B95" s="67"/>
      <c r="C95" s="68"/>
      <c r="D95" s="68"/>
      <c r="E95" s="69"/>
      <c r="F95" s="70"/>
      <c r="G95" s="71"/>
      <c r="H95" s="52"/>
      <c r="I95" s="72"/>
      <c r="J95" s="73"/>
      <c r="K95" s="67"/>
      <c r="L95" s="74"/>
    </row>
    <row r="96" spans="1:12" ht="24" customHeight="1" x14ac:dyDescent="0.35">
      <c r="A96" s="66" t="str">
        <f t="shared" si="1"/>
        <v/>
      </c>
      <c r="B96" s="67"/>
      <c r="C96" s="68"/>
      <c r="D96" s="68"/>
      <c r="E96" s="69"/>
      <c r="F96" s="70"/>
      <c r="G96" s="71"/>
      <c r="H96" s="52"/>
      <c r="I96" s="72"/>
      <c r="J96" s="73"/>
      <c r="K96" s="67"/>
      <c r="L96" s="74"/>
    </row>
    <row r="97" spans="1:12" ht="24" customHeight="1" x14ac:dyDescent="0.35">
      <c r="A97" s="66" t="str">
        <f t="shared" si="1"/>
        <v/>
      </c>
      <c r="B97" s="67"/>
      <c r="C97" s="68"/>
      <c r="D97" s="68"/>
      <c r="E97" s="69"/>
      <c r="F97" s="70"/>
      <c r="G97" s="71"/>
      <c r="H97" s="52"/>
      <c r="I97" s="72"/>
      <c r="J97" s="73"/>
      <c r="K97" s="67"/>
      <c r="L97" s="74"/>
    </row>
    <row r="98" spans="1:12" ht="24" customHeight="1" x14ac:dyDescent="0.35">
      <c r="A98" s="66" t="str">
        <f t="shared" si="1"/>
        <v/>
      </c>
      <c r="B98" s="67"/>
      <c r="C98" s="68"/>
      <c r="D98" s="68"/>
      <c r="E98" s="69"/>
      <c r="F98" s="70"/>
      <c r="G98" s="71"/>
      <c r="H98" s="52"/>
      <c r="I98" s="72"/>
      <c r="J98" s="73"/>
      <c r="K98" s="67"/>
      <c r="L98" s="74"/>
    </row>
    <row r="99" spans="1:12" ht="24" customHeight="1" x14ac:dyDescent="0.35">
      <c r="A99" s="66" t="str">
        <f t="shared" si="1"/>
        <v/>
      </c>
      <c r="B99" s="67"/>
      <c r="C99" s="68"/>
      <c r="D99" s="68"/>
      <c r="E99" s="69"/>
      <c r="F99" s="70"/>
      <c r="G99" s="71"/>
      <c r="H99" s="52"/>
      <c r="I99" s="72"/>
      <c r="J99" s="73"/>
      <c r="K99" s="67"/>
      <c r="L99" s="74"/>
    </row>
    <row r="100" spans="1:12" ht="24" customHeight="1" x14ac:dyDescent="0.35">
      <c r="A100" s="66" t="str">
        <f t="shared" si="1"/>
        <v/>
      </c>
      <c r="B100" s="67"/>
      <c r="C100" s="68"/>
      <c r="D100" s="68"/>
      <c r="E100" s="69"/>
      <c r="F100" s="70"/>
      <c r="G100" s="71"/>
      <c r="H100" s="52"/>
      <c r="I100" s="72"/>
      <c r="J100" s="73"/>
      <c r="K100" s="67"/>
      <c r="L100" s="74"/>
    </row>
    <row r="101" spans="1:12" ht="24" customHeight="1" x14ac:dyDescent="0.35">
      <c r="A101" s="66" t="str">
        <f t="shared" si="1"/>
        <v/>
      </c>
      <c r="B101" s="67"/>
      <c r="C101" s="68"/>
      <c r="D101" s="68"/>
      <c r="E101" s="69"/>
      <c r="F101" s="70"/>
      <c r="G101" s="71"/>
      <c r="H101" s="52"/>
      <c r="I101" s="72"/>
      <c r="J101" s="73"/>
      <c r="K101" s="67"/>
      <c r="L101" s="74"/>
    </row>
    <row r="102" spans="1:12" ht="24" customHeight="1" x14ac:dyDescent="0.35">
      <c r="A102" s="66" t="str">
        <f t="shared" si="1"/>
        <v/>
      </c>
      <c r="B102" s="67"/>
      <c r="C102" s="68"/>
      <c r="D102" s="68"/>
      <c r="E102" s="69"/>
      <c r="F102" s="70"/>
      <c r="G102" s="71"/>
      <c r="H102" s="52"/>
      <c r="I102" s="72"/>
      <c r="J102" s="73"/>
      <c r="K102" s="67"/>
      <c r="L102" s="74"/>
    </row>
    <row r="103" spans="1:12" ht="24" customHeight="1" x14ac:dyDescent="0.35">
      <c r="A103" s="66" t="str">
        <f t="shared" si="1"/>
        <v/>
      </c>
      <c r="B103" s="67"/>
      <c r="C103" s="68"/>
      <c r="D103" s="68"/>
      <c r="E103" s="69"/>
      <c r="F103" s="70"/>
      <c r="G103" s="71"/>
      <c r="H103" s="52"/>
      <c r="I103" s="72"/>
      <c r="J103" s="73"/>
      <c r="K103" s="67"/>
      <c r="L103" s="74"/>
    </row>
    <row r="104" spans="1:12" ht="24" customHeight="1" x14ac:dyDescent="0.35">
      <c r="A104" s="66" t="str">
        <f t="shared" si="1"/>
        <v/>
      </c>
      <c r="B104" s="67"/>
      <c r="C104" s="68"/>
      <c r="D104" s="68"/>
      <c r="E104" s="69"/>
      <c r="F104" s="70"/>
      <c r="G104" s="71"/>
      <c r="H104" s="52"/>
      <c r="I104" s="72"/>
      <c r="J104" s="73"/>
      <c r="K104" s="67"/>
      <c r="L104" s="74"/>
    </row>
    <row r="105" spans="1:12" ht="24" customHeight="1" x14ac:dyDescent="0.35">
      <c r="A105" s="66" t="str">
        <f t="shared" si="1"/>
        <v/>
      </c>
      <c r="B105" s="67"/>
      <c r="C105" s="68"/>
      <c r="D105" s="68"/>
      <c r="E105" s="69"/>
      <c r="F105" s="70"/>
      <c r="G105" s="71"/>
      <c r="H105" s="52"/>
      <c r="I105" s="72"/>
      <c r="J105" s="73"/>
      <c r="K105" s="67"/>
      <c r="L105" s="74"/>
    </row>
    <row r="106" spans="1:12" ht="24" customHeight="1" x14ac:dyDescent="0.35">
      <c r="A106" s="66" t="str">
        <f t="shared" si="1"/>
        <v/>
      </c>
      <c r="B106" s="67"/>
      <c r="C106" s="68"/>
      <c r="D106" s="68"/>
      <c r="E106" s="69"/>
      <c r="F106" s="70"/>
      <c r="G106" s="71"/>
      <c r="H106" s="52"/>
      <c r="I106" s="72"/>
      <c r="J106" s="73"/>
      <c r="K106" s="67"/>
      <c r="L106" s="74"/>
    </row>
    <row r="107" spans="1:12" ht="24" customHeight="1" x14ac:dyDescent="0.35">
      <c r="A107" s="66" t="str">
        <f t="shared" si="1"/>
        <v/>
      </c>
      <c r="B107" s="67"/>
      <c r="C107" s="68"/>
      <c r="D107" s="68"/>
      <c r="E107" s="69"/>
      <c r="F107" s="70"/>
      <c r="G107" s="71"/>
      <c r="H107" s="52"/>
      <c r="I107" s="72"/>
      <c r="J107" s="73"/>
      <c r="K107" s="67"/>
      <c r="L107" s="74"/>
    </row>
    <row r="108" spans="1:12" ht="24" customHeight="1" x14ac:dyDescent="0.35">
      <c r="A108" s="66" t="str">
        <f t="shared" si="1"/>
        <v/>
      </c>
      <c r="B108" s="67"/>
      <c r="C108" s="68"/>
      <c r="D108" s="68"/>
      <c r="E108" s="69"/>
      <c r="F108" s="70"/>
      <c r="G108" s="71"/>
      <c r="H108" s="52"/>
      <c r="I108" s="72"/>
      <c r="J108" s="73"/>
      <c r="K108" s="67"/>
      <c r="L108" s="74"/>
    </row>
    <row r="109" spans="1:12" ht="24" customHeight="1" x14ac:dyDescent="0.35">
      <c r="A109" s="66" t="str">
        <f t="shared" si="1"/>
        <v/>
      </c>
      <c r="B109" s="67"/>
      <c r="C109" s="68"/>
      <c r="D109" s="68"/>
      <c r="E109" s="69"/>
      <c r="F109" s="70"/>
      <c r="G109" s="71"/>
      <c r="H109" s="52"/>
      <c r="I109" s="72"/>
      <c r="J109" s="73"/>
      <c r="K109" s="67"/>
      <c r="L109" s="74"/>
    </row>
    <row r="110" spans="1:12" ht="24" customHeight="1" x14ac:dyDescent="0.35">
      <c r="A110" s="66" t="str">
        <f t="shared" si="1"/>
        <v/>
      </c>
      <c r="B110" s="67"/>
      <c r="C110" s="68"/>
      <c r="D110" s="68"/>
      <c r="E110" s="69"/>
      <c r="F110" s="70"/>
      <c r="G110" s="71"/>
      <c r="H110" s="52"/>
      <c r="I110" s="72"/>
      <c r="J110" s="73"/>
      <c r="K110" s="67"/>
      <c r="L110" s="74"/>
    </row>
    <row r="111" spans="1:12" ht="24" customHeight="1" x14ac:dyDescent="0.35">
      <c r="A111" s="66" t="str">
        <f t="shared" si="1"/>
        <v/>
      </c>
      <c r="B111" s="67"/>
      <c r="C111" s="68"/>
      <c r="D111" s="68"/>
      <c r="E111" s="69"/>
      <c r="F111" s="70"/>
      <c r="G111" s="71"/>
      <c r="H111" s="52"/>
      <c r="I111" s="72"/>
      <c r="J111" s="73"/>
      <c r="K111" s="67"/>
      <c r="L111" s="74"/>
    </row>
    <row r="112" spans="1:12" ht="24" customHeight="1" x14ac:dyDescent="0.35">
      <c r="A112" s="66" t="str">
        <f t="shared" si="1"/>
        <v/>
      </c>
      <c r="B112" s="67"/>
      <c r="C112" s="68"/>
      <c r="D112" s="68"/>
      <c r="E112" s="69"/>
      <c r="F112" s="70"/>
      <c r="G112" s="71"/>
      <c r="H112" s="52"/>
      <c r="I112" s="72"/>
      <c r="J112" s="73"/>
      <c r="K112" s="67"/>
      <c r="L112" s="74"/>
    </row>
    <row r="113" spans="1:12" ht="24" customHeight="1" x14ac:dyDescent="0.35">
      <c r="A113" s="66" t="str">
        <f t="shared" si="1"/>
        <v/>
      </c>
      <c r="B113" s="67"/>
      <c r="C113" s="68"/>
      <c r="D113" s="68"/>
      <c r="E113" s="69"/>
      <c r="F113" s="70"/>
      <c r="G113" s="71"/>
      <c r="H113" s="52"/>
      <c r="I113" s="72"/>
      <c r="J113" s="73"/>
      <c r="K113" s="67"/>
      <c r="L113" s="74"/>
    </row>
    <row r="114" spans="1:12" ht="24" customHeight="1" x14ac:dyDescent="0.35">
      <c r="A114" s="66" t="str">
        <f t="shared" si="1"/>
        <v/>
      </c>
      <c r="B114" s="67"/>
      <c r="C114" s="68"/>
      <c r="D114" s="68"/>
      <c r="E114" s="69"/>
      <c r="F114" s="70"/>
      <c r="G114" s="71"/>
      <c r="H114" s="52"/>
      <c r="I114" s="72"/>
      <c r="J114" s="73"/>
      <c r="K114" s="67"/>
      <c r="L114" s="74"/>
    </row>
    <row r="115" spans="1:12" ht="24" customHeight="1" x14ac:dyDescent="0.35">
      <c r="A115" s="66" t="str">
        <f t="shared" si="1"/>
        <v/>
      </c>
      <c r="B115" s="67"/>
      <c r="C115" s="68"/>
      <c r="D115" s="68"/>
      <c r="E115" s="69"/>
      <c r="F115" s="70"/>
      <c r="G115" s="71"/>
      <c r="H115" s="52"/>
      <c r="I115" s="72"/>
      <c r="J115" s="73"/>
      <c r="K115" s="67"/>
      <c r="L115" s="74"/>
    </row>
    <row r="116" spans="1:12" ht="24" customHeight="1" x14ac:dyDescent="0.35">
      <c r="A116" s="66" t="str">
        <f t="shared" si="1"/>
        <v/>
      </c>
      <c r="B116" s="67"/>
      <c r="C116" s="68"/>
      <c r="D116" s="68"/>
      <c r="E116" s="69"/>
      <c r="F116" s="70"/>
      <c r="G116" s="71"/>
      <c r="H116" s="52"/>
      <c r="I116" s="72"/>
      <c r="J116" s="73"/>
      <c r="K116" s="67"/>
      <c r="L116" s="74"/>
    </row>
    <row r="117" spans="1:12" ht="24" customHeight="1" x14ac:dyDescent="0.35">
      <c r="A117" s="66" t="str">
        <f t="shared" si="1"/>
        <v/>
      </c>
      <c r="B117" s="67"/>
      <c r="C117" s="68"/>
      <c r="D117" s="68"/>
      <c r="E117" s="69"/>
      <c r="F117" s="70"/>
      <c r="G117" s="71"/>
      <c r="H117" s="52"/>
      <c r="I117" s="72"/>
      <c r="J117" s="73"/>
      <c r="K117" s="67"/>
      <c r="L117" s="74"/>
    </row>
    <row r="118" spans="1:12" ht="24" customHeight="1" x14ac:dyDescent="0.35">
      <c r="A118" s="66" t="str">
        <f t="shared" si="1"/>
        <v/>
      </c>
      <c r="B118" s="67"/>
      <c r="C118" s="68"/>
      <c r="D118" s="68"/>
      <c r="E118" s="69"/>
      <c r="F118" s="70"/>
      <c r="G118" s="71"/>
      <c r="H118" s="52"/>
      <c r="I118" s="72"/>
      <c r="J118" s="73"/>
      <c r="K118" s="67"/>
      <c r="L118" s="74"/>
    </row>
    <row r="119" spans="1:12" ht="24" customHeight="1" x14ac:dyDescent="0.35">
      <c r="A119" s="66" t="str">
        <f t="shared" si="1"/>
        <v/>
      </c>
      <c r="B119" s="67"/>
      <c r="C119" s="68"/>
      <c r="D119" s="68"/>
      <c r="E119" s="69"/>
      <c r="F119" s="70"/>
      <c r="G119" s="71"/>
      <c r="H119" s="52"/>
      <c r="I119" s="72"/>
      <c r="J119" s="73"/>
      <c r="K119" s="67"/>
      <c r="L119" s="74"/>
    </row>
    <row r="120" spans="1:12" ht="24" customHeight="1" x14ac:dyDescent="0.35">
      <c r="A120" s="66" t="str">
        <f t="shared" si="1"/>
        <v/>
      </c>
      <c r="B120" s="67"/>
      <c r="C120" s="68"/>
      <c r="D120" s="68"/>
      <c r="E120" s="69"/>
      <c r="F120" s="70"/>
      <c r="G120" s="71"/>
      <c r="H120" s="52"/>
      <c r="I120" s="72"/>
      <c r="J120" s="73"/>
      <c r="K120" s="67"/>
      <c r="L120" s="74"/>
    </row>
    <row r="121" spans="1:12" ht="24" customHeight="1" x14ac:dyDescent="0.35">
      <c r="A121" s="66" t="str">
        <f t="shared" si="1"/>
        <v/>
      </c>
      <c r="B121" s="67"/>
      <c r="C121" s="68"/>
      <c r="D121" s="68"/>
      <c r="E121" s="69"/>
      <c r="F121" s="70"/>
      <c r="G121" s="71"/>
      <c r="H121" s="52"/>
      <c r="I121" s="72"/>
      <c r="J121" s="73"/>
      <c r="K121" s="67"/>
      <c r="L121" s="74"/>
    </row>
    <row r="122" spans="1:12" ht="24" customHeight="1" x14ac:dyDescent="0.35">
      <c r="A122" s="66" t="str">
        <f t="shared" si="1"/>
        <v/>
      </c>
      <c r="B122" s="67"/>
      <c r="C122" s="68"/>
      <c r="D122" s="68"/>
      <c r="E122" s="69"/>
      <c r="F122" s="70"/>
      <c r="G122" s="71"/>
      <c r="H122" s="52"/>
      <c r="I122" s="72"/>
      <c r="J122" s="73"/>
      <c r="K122" s="67"/>
      <c r="L122" s="74"/>
    </row>
    <row r="123" spans="1:12" ht="24" customHeight="1" x14ac:dyDescent="0.35">
      <c r="A123" s="66" t="str">
        <f t="shared" si="1"/>
        <v/>
      </c>
      <c r="B123" s="67"/>
      <c r="C123" s="68"/>
      <c r="D123" s="68"/>
      <c r="E123" s="69"/>
      <c r="F123" s="70"/>
      <c r="G123" s="71"/>
      <c r="H123" s="52"/>
      <c r="I123" s="72"/>
      <c r="J123" s="73"/>
      <c r="K123" s="67"/>
      <c r="L123" s="74"/>
    </row>
    <row r="124" spans="1:12" ht="24" customHeight="1" x14ac:dyDescent="0.35">
      <c r="A124" s="66" t="str">
        <f t="shared" si="1"/>
        <v/>
      </c>
      <c r="B124" s="67"/>
      <c r="C124" s="68"/>
      <c r="D124" s="68"/>
      <c r="E124" s="69"/>
      <c r="F124" s="70"/>
      <c r="G124" s="71"/>
      <c r="H124" s="52"/>
      <c r="I124" s="72"/>
      <c r="J124" s="73"/>
      <c r="K124" s="67"/>
      <c r="L124" s="74"/>
    </row>
    <row r="125" spans="1:12" ht="24" customHeight="1" x14ac:dyDescent="0.35">
      <c r="A125" s="66" t="str">
        <f t="shared" si="1"/>
        <v/>
      </c>
      <c r="B125" s="67"/>
      <c r="C125" s="68"/>
      <c r="D125" s="68"/>
      <c r="E125" s="69"/>
      <c r="F125" s="70"/>
      <c r="G125" s="71"/>
      <c r="H125" s="52"/>
      <c r="I125" s="72"/>
      <c r="J125" s="73"/>
      <c r="K125" s="67"/>
      <c r="L125" s="74"/>
    </row>
    <row r="126" spans="1:12" ht="24" customHeight="1" x14ac:dyDescent="0.35">
      <c r="A126" s="66" t="str">
        <f t="shared" si="1"/>
        <v/>
      </c>
      <c r="B126" s="67"/>
      <c r="C126" s="68"/>
      <c r="D126" s="68"/>
      <c r="E126" s="69"/>
      <c r="F126" s="70"/>
      <c r="G126" s="71"/>
      <c r="H126" s="52"/>
      <c r="I126" s="72"/>
      <c r="J126" s="73"/>
      <c r="K126" s="67"/>
      <c r="L126" s="74"/>
    </row>
    <row r="127" spans="1:12" ht="24" customHeight="1" x14ac:dyDescent="0.35">
      <c r="A127" s="66" t="str">
        <f t="shared" si="1"/>
        <v/>
      </c>
      <c r="B127" s="67"/>
      <c r="C127" s="68"/>
      <c r="D127" s="68"/>
      <c r="E127" s="69"/>
      <c r="F127" s="70"/>
      <c r="G127" s="71"/>
      <c r="H127" s="52"/>
      <c r="I127" s="72"/>
      <c r="J127" s="73"/>
      <c r="K127" s="67"/>
      <c r="L127" s="74"/>
    </row>
    <row r="128" spans="1:12" ht="24" customHeight="1" x14ac:dyDescent="0.35">
      <c r="A128" s="66" t="str">
        <f t="shared" si="1"/>
        <v/>
      </c>
      <c r="B128" s="67"/>
      <c r="C128" s="68"/>
      <c r="D128" s="68"/>
      <c r="E128" s="69"/>
      <c r="F128" s="70"/>
      <c r="G128" s="71"/>
      <c r="H128" s="52"/>
      <c r="I128" s="72"/>
      <c r="J128" s="73"/>
      <c r="K128" s="67"/>
      <c r="L128" s="74"/>
    </row>
    <row r="129" spans="1:12" ht="24" customHeight="1" x14ac:dyDescent="0.35">
      <c r="A129" s="66" t="str">
        <f t="shared" si="1"/>
        <v/>
      </c>
      <c r="B129" s="67"/>
      <c r="C129" s="68"/>
      <c r="D129" s="68"/>
      <c r="E129" s="69"/>
      <c r="F129" s="70"/>
      <c r="G129" s="71"/>
      <c r="H129" s="52"/>
      <c r="I129" s="72"/>
      <c r="J129" s="73"/>
      <c r="K129" s="67"/>
      <c r="L129" s="74"/>
    </row>
    <row r="130" spans="1:12" ht="24" customHeight="1" x14ac:dyDescent="0.35">
      <c r="A130" s="66" t="str">
        <f t="shared" si="1"/>
        <v/>
      </c>
      <c r="B130" s="67"/>
      <c r="C130" s="68"/>
      <c r="D130" s="68"/>
      <c r="E130" s="69"/>
      <c r="F130" s="70"/>
      <c r="G130" s="71"/>
      <c r="H130" s="52"/>
      <c r="I130" s="72"/>
      <c r="J130" s="73"/>
      <c r="K130" s="67"/>
      <c r="L130" s="74"/>
    </row>
    <row r="131" spans="1:12" ht="24" customHeight="1" x14ac:dyDescent="0.35">
      <c r="A131" s="66" t="str">
        <f t="shared" si="1"/>
        <v/>
      </c>
      <c r="B131" s="67"/>
      <c r="C131" s="68"/>
      <c r="D131" s="68"/>
      <c r="E131" s="69"/>
      <c r="F131" s="70"/>
      <c r="G131" s="71"/>
      <c r="H131" s="52"/>
      <c r="I131" s="72"/>
      <c r="J131" s="73"/>
      <c r="K131" s="67"/>
      <c r="L131" s="74"/>
    </row>
    <row r="132" spans="1:12" ht="24" customHeight="1" x14ac:dyDescent="0.35">
      <c r="A132" s="66" t="str">
        <f t="shared" si="1"/>
        <v/>
      </c>
      <c r="B132" s="67"/>
      <c r="C132" s="68"/>
      <c r="D132" s="68"/>
      <c r="E132" s="69"/>
      <c r="F132" s="70"/>
      <c r="G132" s="71"/>
      <c r="H132" s="52"/>
      <c r="I132" s="72"/>
      <c r="J132" s="73"/>
      <c r="K132" s="67"/>
      <c r="L132" s="74"/>
    </row>
    <row r="133" spans="1:12" ht="24" customHeight="1" x14ac:dyDescent="0.35">
      <c r="A133" s="66" t="str">
        <f t="shared" si="1"/>
        <v/>
      </c>
      <c r="B133" s="67"/>
      <c r="C133" s="68"/>
      <c r="D133" s="68"/>
      <c r="E133" s="69"/>
      <c r="F133" s="70"/>
      <c r="G133" s="71"/>
      <c r="H133" s="52"/>
      <c r="I133" s="72"/>
      <c r="J133" s="73"/>
      <c r="K133" s="67"/>
      <c r="L133" s="74"/>
    </row>
    <row r="134" spans="1:12" ht="24" customHeight="1" x14ac:dyDescent="0.35">
      <c r="A134" s="66" t="str">
        <f t="shared" si="1"/>
        <v/>
      </c>
      <c r="B134" s="67"/>
      <c r="C134" s="68"/>
      <c r="D134" s="68"/>
      <c r="E134" s="69"/>
      <c r="F134" s="70"/>
      <c r="G134" s="71"/>
      <c r="H134" s="52"/>
      <c r="I134" s="72"/>
      <c r="J134" s="73"/>
      <c r="K134" s="67"/>
      <c r="L134" s="74"/>
    </row>
    <row r="135" spans="1:12" ht="24" customHeight="1" x14ac:dyDescent="0.35">
      <c r="A135" s="66" t="str">
        <f t="shared" ref="A135:A198" si="2">IF($D135="","",ROW()-6)</f>
        <v/>
      </c>
      <c r="B135" s="67"/>
      <c r="C135" s="68"/>
      <c r="D135" s="68"/>
      <c r="E135" s="69"/>
      <c r="F135" s="70"/>
      <c r="G135" s="71"/>
      <c r="H135" s="52"/>
      <c r="I135" s="72"/>
      <c r="J135" s="73"/>
      <c r="K135" s="67"/>
      <c r="L135" s="74"/>
    </row>
    <row r="136" spans="1:12" ht="24" customHeight="1" x14ac:dyDescent="0.35">
      <c r="A136" s="66" t="str">
        <f t="shared" si="2"/>
        <v/>
      </c>
      <c r="B136" s="67"/>
      <c r="C136" s="68"/>
      <c r="D136" s="68"/>
      <c r="E136" s="69"/>
      <c r="F136" s="70"/>
      <c r="G136" s="71"/>
      <c r="H136" s="52"/>
      <c r="I136" s="72"/>
      <c r="J136" s="73"/>
      <c r="K136" s="67"/>
      <c r="L136" s="74"/>
    </row>
    <row r="137" spans="1:12" ht="24" customHeight="1" x14ac:dyDescent="0.35">
      <c r="A137" s="66" t="str">
        <f t="shared" si="2"/>
        <v/>
      </c>
      <c r="B137" s="67"/>
      <c r="C137" s="68"/>
      <c r="D137" s="68"/>
      <c r="E137" s="69"/>
      <c r="F137" s="70"/>
      <c r="G137" s="71"/>
      <c r="H137" s="52"/>
      <c r="I137" s="72"/>
      <c r="J137" s="73"/>
      <c r="K137" s="67"/>
      <c r="L137" s="74"/>
    </row>
    <row r="138" spans="1:12" ht="24" customHeight="1" x14ac:dyDescent="0.35">
      <c r="A138" s="66" t="str">
        <f t="shared" si="2"/>
        <v/>
      </c>
      <c r="B138" s="67"/>
      <c r="C138" s="68"/>
      <c r="D138" s="68"/>
      <c r="E138" s="69"/>
      <c r="F138" s="70"/>
      <c r="G138" s="71"/>
      <c r="H138" s="52"/>
      <c r="I138" s="72"/>
      <c r="J138" s="73"/>
      <c r="K138" s="67"/>
      <c r="L138" s="74"/>
    </row>
    <row r="139" spans="1:12" ht="24" customHeight="1" x14ac:dyDescent="0.35">
      <c r="A139" s="66" t="str">
        <f t="shared" si="2"/>
        <v/>
      </c>
      <c r="B139" s="67"/>
      <c r="C139" s="68"/>
      <c r="D139" s="68"/>
      <c r="E139" s="69"/>
      <c r="F139" s="70"/>
      <c r="G139" s="71"/>
      <c r="H139" s="52"/>
      <c r="I139" s="72"/>
      <c r="J139" s="73"/>
      <c r="K139" s="67"/>
      <c r="L139" s="74"/>
    </row>
    <row r="140" spans="1:12" ht="24" customHeight="1" x14ac:dyDescent="0.35">
      <c r="A140" s="66" t="str">
        <f t="shared" si="2"/>
        <v/>
      </c>
      <c r="B140" s="67"/>
      <c r="C140" s="68"/>
      <c r="D140" s="68"/>
      <c r="E140" s="69"/>
      <c r="F140" s="70"/>
      <c r="G140" s="71"/>
      <c r="H140" s="52"/>
      <c r="I140" s="72"/>
      <c r="J140" s="73"/>
      <c r="K140" s="67"/>
      <c r="L140" s="74"/>
    </row>
    <row r="141" spans="1:12" ht="24" customHeight="1" x14ac:dyDescent="0.35">
      <c r="A141" s="66" t="str">
        <f t="shared" si="2"/>
        <v/>
      </c>
      <c r="B141" s="67"/>
      <c r="C141" s="68"/>
      <c r="D141" s="68"/>
      <c r="E141" s="69"/>
      <c r="F141" s="70"/>
      <c r="G141" s="71"/>
      <c r="H141" s="52"/>
      <c r="I141" s="72"/>
      <c r="J141" s="73"/>
      <c r="K141" s="67"/>
      <c r="L141" s="74"/>
    </row>
    <row r="142" spans="1:12" ht="24" customHeight="1" x14ac:dyDescent="0.35">
      <c r="A142" s="66" t="str">
        <f t="shared" si="2"/>
        <v/>
      </c>
      <c r="B142" s="67"/>
      <c r="C142" s="68"/>
      <c r="D142" s="68"/>
      <c r="E142" s="69"/>
      <c r="F142" s="70"/>
      <c r="G142" s="71"/>
      <c r="H142" s="52"/>
      <c r="I142" s="72"/>
      <c r="J142" s="73"/>
      <c r="K142" s="67"/>
      <c r="L142" s="74"/>
    </row>
    <row r="143" spans="1:12" ht="24" customHeight="1" x14ac:dyDescent="0.35">
      <c r="A143" s="66" t="str">
        <f t="shared" si="2"/>
        <v/>
      </c>
      <c r="B143" s="67"/>
      <c r="C143" s="68"/>
      <c r="D143" s="68"/>
      <c r="E143" s="69"/>
      <c r="F143" s="70"/>
      <c r="G143" s="71"/>
      <c r="H143" s="52"/>
      <c r="I143" s="72"/>
      <c r="J143" s="73"/>
      <c r="K143" s="67"/>
      <c r="L143" s="74"/>
    </row>
    <row r="144" spans="1:12" ht="24" customHeight="1" x14ac:dyDescent="0.35">
      <c r="A144" s="66" t="str">
        <f t="shared" si="2"/>
        <v/>
      </c>
      <c r="B144" s="67"/>
      <c r="C144" s="68"/>
      <c r="D144" s="68"/>
      <c r="E144" s="69"/>
      <c r="F144" s="70"/>
      <c r="G144" s="71"/>
      <c r="H144" s="52"/>
      <c r="I144" s="72"/>
      <c r="J144" s="73"/>
      <c r="K144" s="67"/>
      <c r="L144" s="74"/>
    </row>
    <row r="145" spans="1:12" ht="24" customHeight="1" x14ac:dyDescent="0.35">
      <c r="A145" s="66" t="str">
        <f t="shared" si="2"/>
        <v/>
      </c>
      <c r="B145" s="67"/>
      <c r="C145" s="68"/>
      <c r="D145" s="68"/>
      <c r="E145" s="69"/>
      <c r="F145" s="70"/>
      <c r="G145" s="71"/>
      <c r="H145" s="52"/>
      <c r="I145" s="72"/>
      <c r="J145" s="73"/>
      <c r="K145" s="67"/>
      <c r="L145" s="74"/>
    </row>
    <row r="146" spans="1:12" ht="24" customHeight="1" x14ac:dyDescent="0.35">
      <c r="A146" s="66" t="str">
        <f t="shared" si="2"/>
        <v/>
      </c>
      <c r="B146" s="67"/>
      <c r="C146" s="68"/>
      <c r="D146" s="68"/>
      <c r="E146" s="69"/>
      <c r="F146" s="70"/>
      <c r="G146" s="71"/>
      <c r="H146" s="52"/>
      <c r="I146" s="72"/>
      <c r="J146" s="73"/>
      <c r="K146" s="67"/>
      <c r="L146" s="74"/>
    </row>
    <row r="147" spans="1:12" ht="24" customHeight="1" x14ac:dyDescent="0.35">
      <c r="A147" s="66" t="str">
        <f t="shared" si="2"/>
        <v/>
      </c>
      <c r="B147" s="67"/>
      <c r="C147" s="68"/>
      <c r="D147" s="68"/>
      <c r="E147" s="69"/>
      <c r="F147" s="70"/>
      <c r="G147" s="71"/>
      <c r="H147" s="52"/>
      <c r="I147" s="72"/>
      <c r="J147" s="73"/>
      <c r="K147" s="67"/>
      <c r="L147" s="74"/>
    </row>
    <row r="148" spans="1:12" ht="24" customHeight="1" x14ac:dyDescent="0.35">
      <c r="A148" s="66" t="str">
        <f t="shared" si="2"/>
        <v/>
      </c>
      <c r="B148" s="67"/>
      <c r="C148" s="68"/>
      <c r="D148" s="68"/>
      <c r="E148" s="69"/>
      <c r="F148" s="70"/>
      <c r="G148" s="71"/>
      <c r="H148" s="52"/>
      <c r="I148" s="72"/>
      <c r="J148" s="73"/>
      <c r="K148" s="67"/>
      <c r="L148" s="74"/>
    </row>
    <row r="149" spans="1:12" ht="24" customHeight="1" x14ac:dyDescent="0.35">
      <c r="A149" s="66" t="str">
        <f t="shared" si="2"/>
        <v/>
      </c>
      <c r="B149" s="67"/>
      <c r="C149" s="68"/>
      <c r="D149" s="68"/>
      <c r="E149" s="69"/>
      <c r="F149" s="70"/>
      <c r="G149" s="71"/>
      <c r="H149" s="52"/>
      <c r="I149" s="72"/>
      <c r="J149" s="73"/>
      <c r="K149" s="67"/>
      <c r="L149" s="74"/>
    </row>
    <row r="150" spans="1:12" ht="24" customHeight="1" x14ac:dyDescent="0.35">
      <c r="A150" s="66" t="str">
        <f t="shared" si="2"/>
        <v/>
      </c>
      <c r="B150" s="67"/>
      <c r="C150" s="68"/>
      <c r="D150" s="68"/>
      <c r="E150" s="69"/>
      <c r="F150" s="70"/>
      <c r="G150" s="71"/>
      <c r="H150" s="52"/>
      <c r="I150" s="72"/>
      <c r="J150" s="73"/>
      <c r="K150" s="67"/>
      <c r="L150" s="74"/>
    </row>
    <row r="151" spans="1:12" ht="24" customHeight="1" x14ac:dyDescent="0.35">
      <c r="A151" s="66" t="str">
        <f t="shared" si="2"/>
        <v/>
      </c>
      <c r="B151" s="67"/>
      <c r="C151" s="68"/>
      <c r="D151" s="68"/>
      <c r="E151" s="69"/>
      <c r="F151" s="70"/>
      <c r="G151" s="71"/>
      <c r="H151" s="52"/>
      <c r="I151" s="72"/>
      <c r="J151" s="73"/>
      <c r="K151" s="67"/>
      <c r="L151" s="74"/>
    </row>
    <row r="152" spans="1:12" ht="24" customHeight="1" x14ac:dyDescent="0.35">
      <c r="A152" s="66" t="str">
        <f t="shared" si="2"/>
        <v/>
      </c>
      <c r="B152" s="67"/>
      <c r="C152" s="68"/>
      <c r="D152" s="68"/>
      <c r="E152" s="69"/>
      <c r="F152" s="70"/>
      <c r="G152" s="71"/>
      <c r="H152" s="52"/>
      <c r="I152" s="72"/>
      <c r="J152" s="73"/>
      <c r="K152" s="67"/>
      <c r="L152" s="74"/>
    </row>
    <row r="153" spans="1:12" ht="24" customHeight="1" x14ac:dyDescent="0.35">
      <c r="A153" s="66" t="str">
        <f t="shared" si="2"/>
        <v/>
      </c>
      <c r="B153" s="67"/>
      <c r="C153" s="68"/>
      <c r="D153" s="68"/>
      <c r="E153" s="69"/>
      <c r="F153" s="70"/>
      <c r="G153" s="71"/>
      <c r="H153" s="52"/>
      <c r="I153" s="72"/>
      <c r="J153" s="73"/>
      <c r="K153" s="67"/>
      <c r="L153" s="74"/>
    </row>
    <row r="154" spans="1:12" ht="24" customHeight="1" x14ac:dyDescent="0.35">
      <c r="A154" s="66" t="str">
        <f t="shared" si="2"/>
        <v/>
      </c>
      <c r="B154" s="67"/>
      <c r="C154" s="68"/>
      <c r="D154" s="68"/>
      <c r="E154" s="69"/>
      <c r="F154" s="70"/>
      <c r="G154" s="71"/>
      <c r="H154" s="52"/>
      <c r="I154" s="72"/>
      <c r="J154" s="73"/>
      <c r="K154" s="67"/>
      <c r="L154" s="74"/>
    </row>
    <row r="155" spans="1:12" ht="24" customHeight="1" x14ac:dyDescent="0.35">
      <c r="A155" s="66" t="str">
        <f t="shared" si="2"/>
        <v/>
      </c>
      <c r="B155" s="67"/>
      <c r="C155" s="68"/>
      <c r="D155" s="68"/>
      <c r="E155" s="69"/>
      <c r="F155" s="70"/>
      <c r="G155" s="71"/>
      <c r="H155" s="52"/>
      <c r="I155" s="72"/>
      <c r="J155" s="73"/>
      <c r="K155" s="67"/>
      <c r="L155" s="74"/>
    </row>
    <row r="156" spans="1:12" ht="24" customHeight="1" x14ac:dyDescent="0.35">
      <c r="A156" s="66" t="str">
        <f t="shared" si="2"/>
        <v/>
      </c>
      <c r="B156" s="67"/>
      <c r="C156" s="68"/>
      <c r="D156" s="68"/>
      <c r="E156" s="69"/>
      <c r="F156" s="70"/>
      <c r="G156" s="71"/>
      <c r="H156" s="52"/>
      <c r="I156" s="72"/>
      <c r="J156" s="73"/>
      <c r="K156" s="67"/>
      <c r="L156" s="74"/>
    </row>
    <row r="157" spans="1:12" ht="24" customHeight="1" x14ac:dyDescent="0.35">
      <c r="A157" s="66" t="str">
        <f t="shared" si="2"/>
        <v/>
      </c>
      <c r="B157" s="67"/>
      <c r="C157" s="68"/>
      <c r="D157" s="68"/>
      <c r="E157" s="69"/>
      <c r="F157" s="70"/>
      <c r="G157" s="71"/>
      <c r="H157" s="52"/>
      <c r="I157" s="72"/>
      <c r="J157" s="73"/>
      <c r="K157" s="67"/>
      <c r="L157" s="74"/>
    </row>
    <row r="158" spans="1:12" ht="24" customHeight="1" x14ac:dyDescent="0.35">
      <c r="A158" s="66" t="str">
        <f t="shared" si="2"/>
        <v/>
      </c>
      <c r="B158" s="67"/>
      <c r="C158" s="68"/>
      <c r="D158" s="68"/>
      <c r="E158" s="69"/>
      <c r="F158" s="70"/>
      <c r="G158" s="71"/>
      <c r="H158" s="52"/>
      <c r="I158" s="72"/>
      <c r="J158" s="73"/>
      <c r="K158" s="67"/>
      <c r="L158" s="74"/>
    </row>
    <row r="159" spans="1:12" ht="24" customHeight="1" x14ac:dyDescent="0.35">
      <c r="A159" s="66" t="str">
        <f t="shared" si="2"/>
        <v/>
      </c>
      <c r="B159" s="67"/>
      <c r="C159" s="68"/>
      <c r="D159" s="68"/>
      <c r="E159" s="69"/>
      <c r="F159" s="70"/>
      <c r="G159" s="71"/>
      <c r="H159" s="52"/>
      <c r="I159" s="72"/>
      <c r="J159" s="73"/>
      <c r="K159" s="67"/>
      <c r="L159" s="74"/>
    </row>
    <row r="160" spans="1:12" ht="24" customHeight="1" x14ac:dyDescent="0.35">
      <c r="A160" s="66" t="str">
        <f t="shared" si="2"/>
        <v/>
      </c>
      <c r="B160" s="67"/>
      <c r="C160" s="68"/>
      <c r="D160" s="68"/>
      <c r="E160" s="69"/>
      <c r="F160" s="70"/>
      <c r="G160" s="71"/>
      <c r="H160" s="52"/>
      <c r="I160" s="72"/>
      <c r="J160" s="73"/>
      <c r="K160" s="67"/>
      <c r="L160" s="74"/>
    </row>
    <row r="161" spans="1:12" ht="24" customHeight="1" x14ac:dyDescent="0.35">
      <c r="A161" s="66" t="str">
        <f t="shared" si="2"/>
        <v/>
      </c>
      <c r="B161" s="67"/>
      <c r="C161" s="68"/>
      <c r="D161" s="68"/>
      <c r="E161" s="69"/>
      <c r="F161" s="70"/>
      <c r="G161" s="71"/>
      <c r="H161" s="52"/>
      <c r="I161" s="72"/>
      <c r="J161" s="73"/>
      <c r="K161" s="67"/>
      <c r="L161" s="74"/>
    </row>
    <row r="162" spans="1:12" ht="24" customHeight="1" x14ac:dyDescent="0.35">
      <c r="A162" s="66" t="str">
        <f t="shared" si="2"/>
        <v/>
      </c>
      <c r="B162" s="67"/>
      <c r="C162" s="68"/>
      <c r="D162" s="68"/>
      <c r="E162" s="69"/>
      <c r="F162" s="70"/>
      <c r="G162" s="71"/>
      <c r="H162" s="52"/>
      <c r="I162" s="72"/>
      <c r="J162" s="73"/>
      <c r="K162" s="67"/>
      <c r="L162" s="74"/>
    </row>
    <row r="163" spans="1:12" ht="24" customHeight="1" x14ac:dyDescent="0.35">
      <c r="A163" s="66" t="str">
        <f t="shared" si="2"/>
        <v/>
      </c>
      <c r="B163" s="67"/>
      <c r="C163" s="68"/>
      <c r="D163" s="68"/>
      <c r="E163" s="69"/>
      <c r="F163" s="70"/>
      <c r="G163" s="71"/>
      <c r="H163" s="52"/>
      <c r="I163" s="72"/>
      <c r="J163" s="73"/>
      <c r="K163" s="67"/>
      <c r="L163" s="74"/>
    </row>
    <row r="164" spans="1:12" ht="24" customHeight="1" x14ac:dyDescent="0.35">
      <c r="A164" s="66" t="str">
        <f t="shared" si="2"/>
        <v/>
      </c>
      <c r="B164" s="67"/>
      <c r="C164" s="68"/>
      <c r="D164" s="68"/>
      <c r="E164" s="69"/>
      <c r="F164" s="70"/>
      <c r="G164" s="71"/>
      <c r="H164" s="52"/>
      <c r="I164" s="72"/>
      <c r="J164" s="73"/>
      <c r="K164" s="67"/>
      <c r="L164" s="74"/>
    </row>
    <row r="165" spans="1:12" ht="24" customHeight="1" x14ac:dyDescent="0.35">
      <c r="A165" s="66" t="str">
        <f t="shared" si="2"/>
        <v/>
      </c>
      <c r="B165" s="67"/>
      <c r="C165" s="68"/>
      <c r="D165" s="68"/>
      <c r="E165" s="69"/>
      <c r="F165" s="70"/>
      <c r="G165" s="71"/>
      <c r="H165" s="52"/>
      <c r="I165" s="72"/>
      <c r="J165" s="73"/>
      <c r="K165" s="67"/>
      <c r="L165" s="74"/>
    </row>
    <row r="166" spans="1:12" ht="24" customHeight="1" x14ac:dyDescent="0.35">
      <c r="A166" s="66" t="str">
        <f t="shared" si="2"/>
        <v/>
      </c>
      <c r="B166" s="67"/>
      <c r="C166" s="68"/>
      <c r="D166" s="68"/>
      <c r="E166" s="69"/>
      <c r="F166" s="70"/>
      <c r="G166" s="71"/>
      <c r="H166" s="52"/>
      <c r="I166" s="72"/>
      <c r="J166" s="73"/>
      <c r="K166" s="67"/>
      <c r="L166" s="74"/>
    </row>
    <row r="167" spans="1:12" ht="24" customHeight="1" x14ac:dyDescent="0.35">
      <c r="A167" s="66" t="str">
        <f t="shared" si="2"/>
        <v/>
      </c>
      <c r="B167" s="67"/>
      <c r="C167" s="68"/>
      <c r="D167" s="68"/>
      <c r="E167" s="69"/>
      <c r="F167" s="70"/>
      <c r="G167" s="71"/>
      <c r="H167" s="52"/>
      <c r="I167" s="72"/>
      <c r="J167" s="73"/>
      <c r="K167" s="67"/>
      <c r="L167" s="74"/>
    </row>
    <row r="168" spans="1:12" ht="24" customHeight="1" x14ac:dyDescent="0.35">
      <c r="A168" s="66" t="str">
        <f t="shared" si="2"/>
        <v/>
      </c>
      <c r="B168" s="67"/>
      <c r="C168" s="68"/>
      <c r="D168" s="68"/>
      <c r="E168" s="69"/>
      <c r="F168" s="70"/>
      <c r="G168" s="71"/>
      <c r="H168" s="52"/>
      <c r="I168" s="72"/>
      <c r="J168" s="73"/>
      <c r="K168" s="67"/>
      <c r="L168" s="74"/>
    </row>
    <row r="169" spans="1:12" ht="24" customHeight="1" x14ac:dyDescent="0.35">
      <c r="A169" s="66" t="str">
        <f t="shared" si="2"/>
        <v/>
      </c>
      <c r="B169" s="67"/>
      <c r="C169" s="68"/>
      <c r="D169" s="68"/>
      <c r="E169" s="69"/>
      <c r="F169" s="70"/>
      <c r="G169" s="71"/>
      <c r="H169" s="52"/>
      <c r="I169" s="72"/>
      <c r="J169" s="73"/>
      <c r="K169" s="67"/>
      <c r="L169" s="74"/>
    </row>
    <row r="170" spans="1:12" ht="24" customHeight="1" x14ac:dyDescent="0.35">
      <c r="A170" s="66" t="str">
        <f t="shared" si="2"/>
        <v/>
      </c>
      <c r="B170" s="67"/>
      <c r="C170" s="68"/>
      <c r="D170" s="68"/>
      <c r="E170" s="69"/>
      <c r="F170" s="70"/>
      <c r="G170" s="71"/>
      <c r="H170" s="52"/>
      <c r="I170" s="72"/>
      <c r="J170" s="73"/>
      <c r="K170" s="67"/>
      <c r="L170" s="74"/>
    </row>
    <row r="171" spans="1:12" ht="24" customHeight="1" x14ac:dyDescent="0.35">
      <c r="A171" s="66" t="str">
        <f t="shared" si="2"/>
        <v/>
      </c>
      <c r="B171" s="67"/>
      <c r="C171" s="68"/>
      <c r="D171" s="68"/>
      <c r="E171" s="69"/>
      <c r="F171" s="70"/>
      <c r="G171" s="71"/>
      <c r="H171" s="52"/>
      <c r="I171" s="72"/>
      <c r="J171" s="73"/>
      <c r="K171" s="67"/>
      <c r="L171" s="74"/>
    </row>
    <row r="172" spans="1:12" ht="24" customHeight="1" x14ac:dyDescent="0.35">
      <c r="A172" s="66" t="str">
        <f t="shared" si="2"/>
        <v/>
      </c>
      <c r="B172" s="67"/>
      <c r="C172" s="68"/>
      <c r="D172" s="68"/>
      <c r="E172" s="69"/>
      <c r="F172" s="70"/>
      <c r="G172" s="71"/>
      <c r="H172" s="52"/>
      <c r="I172" s="72"/>
      <c r="J172" s="73"/>
      <c r="K172" s="67"/>
      <c r="L172" s="74"/>
    </row>
    <row r="173" spans="1:12" ht="24" customHeight="1" x14ac:dyDescent="0.35">
      <c r="A173" s="66" t="str">
        <f t="shared" si="2"/>
        <v/>
      </c>
      <c r="B173" s="67"/>
      <c r="C173" s="68"/>
      <c r="D173" s="68"/>
      <c r="E173" s="69"/>
      <c r="F173" s="70"/>
      <c r="G173" s="71"/>
      <c r="H173" s="52"/>
      <c r="I173" s="72"/>
      <c r="J173" s="73"/>
      <c r="K173" s="67"/>
      <c r="L173" s="74"/>
    </row>
    <row r="174" spans="1:12" ht="24" customHeight="1" x14ac:dyDescent="0.35">
      <c r="A174" s="66" t="str">
        <f t="shared" si="2"/>
        <v/>
      </c>
      <c r="B174" s="67"/>
      <c r="C174" s="68"/>
      <c r="D174" s="68"/>
      <c r="E174" s="69"/>
      <c r="F174" s="70"/>
      <c r="G174" s="71"/>
      <c r="H174" s="52"/>
      <c r="I174" s="72"/>
      <c r="J174" s="73"/>
      <c r="K174" s="67"/>
      <c r="L174" s="74"/>
    </row>
    <row r="175" spans="1:12" ht="24" customHeight="1" x14ac:dyDescent="0.35">
      <c r="A175" s="66" t="str">
        <f t="shared" si="2"/>
        <v/>
      </c>
      <c r="B175" s="67"/>
      <c r="C175" s="68"/>
      <c r="D175" s="68"/>
      <c r="E175" s="69"/>
      <c r="F175" s="70"/>
      <c r="G175" s="71"/>
      <c r="H175" s="52"/>
      <c r="I175" s="72"/>
      <c r="J175" s="73"/>
      <c r="K175" s="67"/>
      <c r="L175" s="74"/>
    </row>
    <row r="176" spans="1:12" ht="24" customHeight="1" x14ac:dyDescent="0.35">
      <c r="A176" s="66" t="str">
        <f t="shared" si="2"/>
        <v/>
      </c>
      <c r="B176" s="67"/>
      <c r="C176" s="68"/>
      <c r="D176" s="68"/>
      <c r="E176" s="69"/>
      <c r="F176" s="70"/>
      <c r="G176" s="71"/>
      <c r="H176" s="52"/>
      <c r="I176" s="72"/>
      <c r="J176" s="73"/>
      <c r="K176" s="67"/>
      <c r="L176" s="74"/>
    </row>
    <row r="177" spans="1:12" ht="24" customHeight="1" x14ac:dyDescent="0.35">
      <c r="A177" s="66" t="str">
        <f t="shared" si="2"/>
        <v/>
      </c>
      <c r="B177" s="67"/>
      <c r="C177" s="68"/>
      <c r="D177" s="68"/>
      <c r="E177" s="69"/>
      <c r="F177" s="70"/>
      <c r="G177" s="71"/>
      <c r="H177" s="52"/>
      <c r="I177" s="72"/>
      <c r="J177" s="73"/>
      <c r="K177" s="67"/>
      <c r="L177" s="74"/>
    </row>
    <row r="178" spans="1:12" ht="24" customHeight="1" x14ac:dyDescent="0.35">
      <c r="A178" s="66" t="str">
        <f t="shared" si="2"/>
        <v/>
      </c>
      <c r="B178" s="67"/>
      <c r="C178" s="68"/>
      <c r="D178" s="68"/>
      <c r="E178" s="69"/>
      <c r="F178" s="70"/>
      <c r="G178" s="71"/>
      <c r="H178" s="52"/>
      <c r="I178" s="72"/>
      <c r="J178" s="73"/>
      <c r="K178" s="67"/>
      <c r="L178" s="74"/>
    </row>
    <row r="179" spans="1:12" ht="24" customHeight="1" x14ac:dyDescent="0.35">
      <c r="A179" s="66" t="str">
        <f t="shared" si="2"/>
        <v/>
      </c>
      <c r="B179" s="67"/>
      <c r="C179" s="68"/>
      <c r="D179" s="68"/>
      <c r="E179" s="69"/>
      <c r="F179" s="70"/>
      <c r="G179" s="71"/>
      <c r="H179" s="52"/>
      <c r="I179" s="72"/>
      <c r="J179" s="73"/>
      <c r="K179" s="67"/>
      <c r="L179" s="74"/>
    </row>
    <row r="180" spans="1:12" ht="24" customHeight="1" x14ac:dyDescent="0.35">
      <c r="A180" s="66" t="str">
        <f t="shared" si="2"/>
        <v/>
      </c>
      <c r="B180" s="67"/>
      <c r="C180" s="68"/>
      <c r="D180" s="68"/>
      <c r="E180" s="69"/>
      <c r="F180" s="70"/>
      <c r="G180" s="71"/>
      <c r="H180" s="52"/>
      <c r="I180" s="72"/>
      <c r="J180" s="73"/>
      <c r="K180" s="67"/>
      <c r="L180" s="74"/>
    </row>
    <row r="181" spans="1:12" ht="24" customHeight="1" x14ac:dyDescent="0.35">
      <c r="A181" s="66" t="str">
        <f t="shared" si="2"/>
        <v/>
      </c>
      <c r="B181" s="67"/>
      <c r="C181" s="68"/>
      <c r="D181" s="68"/>
      <c r="E181" s="69"/>
      <c r="F181" s="70"/>
      <c r="G181" s="71"/>
      <c r="H181" s="52"/>
      <c r="I181" s="72"/>
      <c r="J181" s="73"/>
      <c r="K181" s="67"/>
      <c r="L181" s="74"/>
    </row>
    <row r="182" spans="1:12" ht="24" customHeight="1" x14ac:dyDescent="0.35">
      <c r="A182" s="66" t="str">
        <f t="shared" si="2"/>
        <v/>
      </c>
      <c r="B182" s="67"/>
      <c r="C182" s="68"/>
      <c r="D182" s="68"/>
      <c r="E182" s="69"/>
      <c r="F182" s="70"/>
      <c r="G182" s="71"/>
      <c r="H182" s="52"/>
      <c r="I182" s="72"/>
      <c r="J182" s="73"/>
      <c r="K182" s="67"/>
      <c r="L182" s="74"/>
    </row>
    <row r="183" spans="1:12" ht="24" customHeight="1" x14ac:dyDescent="0.35">
      <c r="A183" s="66" t="str">
        <f t="shared" si="2"/>
        <v/>
      </c>
      <c r="B183" s="67"/>
      <c r="C183" s="68"/>
      <c r="D183" s="68"/>
      <c r="E183" s="69"/>
      <c r="F183" s="70"/>
      <c r="G183" s="71"/>
      <c r="H183" s="52"/>
      <c r="I183" s="72"/>
      <c r="J183" s="73"/>
      <c r="K183" s="67"/>
      <c r="L183" s="74"/>
    </row>
    <row r="184" spans="1:12" ht="24" customHeight="1" x14ac:dyDescent="0.35">
      <c r="A184" s="66" t="str">
        <f t="shared" si="2"/>
        <v/>
      </c>
      <c r="B184" s="67"/>
      <c r="C184" s="68"/>
      <c r="D184" s="68"/>
      <c r="E184" s="69"/>
      <c r="F184" s="70"/>
      <c r="G184" s="71"/>
      <c r="H184" s="52"/>
      <c r="I184" s="72"/>
      <c r="J184" s="73"/>
      <c r="K184" s="67"/>
      <c r="L184" s="74"/>
    </row>
    <row r="185" spans="1:12" ht="24" customHeight="1" x14ac:dyDescent="0.35">
      <c r="A185" s="66" t="str">
        <f t="shared" si="2"/>
        <v/>
      </c>
      <c r="B185" s="67"/>
      <c r="C185" s="68"/>
      <c r="D185" s="68"/>
      <c r="E185" s="69"/>
      <c r="F185" s="70"/>
      <c r="G185" s="71"/>
      <c r="H185" s="52"/>
      <c r="I185" s="72"/>
      <c r="J185" s="73"/>
      <c r="K185" s="67"/>
      <c r="L185" s="74"/>
    </row>
    <row r="186" spans="1:12" ht="24" customHeight="1" x14ac:dyDescent="0.35">
      <c r="A186" s="66" t="str">
        <f t="shared" si="2"/>
        <v/>
      </c>
      <c r="B186" s="67"/>
      <c r="C186" s="68"/>
      <c r="D186" s="68"/>
      <c r="E186" s="69"/>
      <c r="F186" s="70"/>
      <c r="G186" s="71"/>
      <c r="H186" s="52"/>
      <c r="I186" s="72"/>
      <c r="J186" s="73"/>
      <c r="K186" s="67"/>
      <c r="L186" s="74"/>
    </row>
    <row r="187" spans="1:12" ht="24" customHeight="1" x14ac:dyDescent="0.35">
      <c r="A187" s="66" t="str">
        <f t="shared" si="2"/>
        <v/>
      </c>
      <c r="B187" s="67"/>
      <c r="C187" s="68"/>
      <c r="D187" s="68"/>
      <c r="E187" s="69"/>
      <c r="F187" s="70"/>
      <c r="G187" s="71"/>
      <c r="H187" s="52"/>
      <c r="I187" s="72"/>
      <c r="J187" s="73"/>
      <c r="K187" s="67"/>
      <c r="L187" s="74"/>
    </row>
    <row r="188" spans="1:12" ht="24" customHeight="1" x14ac:dyDescent="0.35">
      <c r="A188" s="66" t="str">
        <f t="shared" si="2"/>
        <v/>
      </c>
      <c r="B188" s="67"/>
      <c r="C188" s="68"/>
      <c r="D188" s="68"/>
      <c r="E188" s="69"/>
      <c r="F188" s="70"/>
      <c r="G188" s="71"/>
      <c r="H188" s="52"/>
      <c r="I188" s="72"/>
      <c r="J188" s="73"/>
      <c r="K188" s="67"/>
      <c r="L188" s="74"/>
    </row>
    <row r="189" spans="1:12" ht="24" customHeight="1" x14ac:dyDescent="0.35">
      <c r="A189" s="66" t="str">
        <f t="shared" si="2"/>
        <v/>
      </c>
      <c r="B189" s="67"/>
      <c r="C189" s="68"/>
      <c r="D189" s="68"/>
      <c r="E189" s="69"/>
      <c r="F189" s="70"/>
      <c r="G189" s="71"/>
      <c r="H189" s="52"/>
      <c r="I189" s="72"/>
      <c r="J189" s="73"/>
      <c r="K189" s="67"/>
      <c r="L189" s="74"/>
    </row>
    <row r="190" spans="1:12" ht="24" customHeight="1" x14ac:dyDescent="0.35">
      <c r="A190" s="66" t="str">
        <f t="shared" si="2"/>
        <v/>
      </c>
      <c r="B190" s="67"/>
      <c r="C190" s="68"/>
      <c r="D190" s="68"/>
      <c r="E190" s="69"/>
      <c r="F190" s="70"/>
      <c r="G190" s="71"/>
      <c r="H190" s="52"/>
      <c r="I190" s="72"/>
      <c r="J190" s="73"/>
      <c r="K190" s="67"/>
      <c r="L190" s="74"/>
    </row>
    <row r="191" spans="1:12" ht="24" customHeight="1" x14ac:dyDescent="0.35">
      <c r="A191" s="66" t="str">
        <f t="shared" si="2"/>
        <v/>
      </c>
      <c r="B191" s="67"/>
      <c r="C191" s="68"/>
      <c r="D191" s="68"/>
      <c r="E191" s="69"/>
      <c r="F191" s="70"/>
      <c r="G191" s="71"/>
      <c r="H191" s="52"/>
      <c r="I191" s="72"/>
      <c r="J191" s="73"/>
      <c r="K191" s="67"/>
      <c r="L191" s="74"/>
    </row>
    <row r="192" spans="1:12" ht="24" customHeight="1" x14ac:dyDescent="0.35">
      <c r="A192" s="66" t="str">
        <f t="shared" si="2"/>
        <v/>
      </c>
      <c r="B192" s="67"/>
      <c r="C192" s="68"/>
      <c r="D192" s="68"/>
      <c r="E192" s="69"/>
      <c r="F192" s="70"/>
      <c r="G192" s="71"/>
      <c r="H192" s="52"/>
      <c r="I192" s="72"/>
      <c r="J192" s="73"/>
      <c r="K192" s="67"/>
      <c r="L192" s="74"/>
    </row>
    <row r="193" spans="1:12" ht="24" customHeight="1" x14ac:dyDescent="0.35">
      <c r="A193" s="66" t="str">
        <f t="shared" si="2"/>
        <v/>
      </c>
      <c r="B193" s="67"/>
      <c r="C193" s="68"/>
      <c r="D193" s="68"/>
      <c r="E193" s="69"/>
      <c r="F193" s="70"/>
      <c r="G193" s="71"/>
      <c r="H193" s="52"/>
      <c r="I193" s="72"/>
      <c r="J193" s="73"/>
      <c r="K193" s="67"/>
      <c r="L193" s="74"/>
    </row>
    <row r="194" spans="1:12" ht="24" customHeight="1" x14ac:dyDescent="0.35">
      <c r="A194" s="66" t="str">
        <f t="shared" si="2"/>
        <v/>
      </c>
      <c r="B194" s="67"/>
      <c r="C194" s="68"/>
      <c r="D194" s="68"/>
      <c r="E194" s="69"/>
      <c r="F194" s="70"/>
      <c r="G194" s="71"/>
      <c r="H194" s="52"/>
      <c r="I194" s="72"/>
      <c r="J194" s="73"/>
      <c r="K194" s="67"/>
      <c r="L194" s="74"/>
    </row>
    <row r="195" spans="1:12" ht="24" customHeight="1" x14ac:dyDescent="0.35">
      <c r="A195" s="66" t="str">
        <f t="shared" si="2"/>
        <v/>
      </c>
      <c r="B195" s="67"/>
      <c r="C195" s="68"/>
      <c r="D195" s="68"/>
      <c r="E195" s="69"/>
      <c r="F195" s="70"/>
      <c r="G195" s="71"/>
      <c r="H195" s="52"/>
      <c r="I195" s="72"/>
      <c r="J195" s="73"/>
      <c r="K195" s="67"/>
      <c r="L195" s="74"/>
    </row>
    <row r="196" spans="1:12" ht="24" customHeight="1" x14ac:dyDescent="0.35">
      <c r="A196" s="66" t="str">
        <f t="shared" si="2"/>
        <v/>
      </c>
      <c r="B196" s="67"/>
      <c r="C196" s="68"/>
      <c r="D196" s="68"/>
      <c r="E196" s="69"/>
      <c r="F196" s="70"/>
      <c r="G196" s="71"/>
      <c r="H196" s="52"/>
      <c r="I196" s="72"/>
      <c r="J196" s="73"/>
      <c r="K196" s="67"/>
      <c r="L196" s="74"/>
    </row>
    <row r="197" spans="1:12" ht="24" customHeight="1" x14ac:dyDescent="0.35">
      <c r="A197" s="66" t="str">
        <f t="shared" si="2"/>
        <v/>
      </c>
      <c r="B197" s="67"/>
      <c r="C197" s="68"/>
      <c r="D197" s="68"/>
      <c r="E197" s="69"/>
      <c r="F197" s="70"/>
      <c r="G197" s="71"/>
      <c r="H197" s="52"/>
      <c r="I197" s="72"/>
      <c r="J197" s="73"/>
      <c r="K197" s="67"/>
      <c r="L197" s="74"/>
    </row>
    <row r="198" spans="1:12" ht="24" customHeight="1" x14ac:dyDescent="0.35">
      <c r="A198" s="66" t="str">
        <f t="shared" si="2"/>
        <v/>
      </c>
      <c r="B198" s="67"/>
      <c r="C198" s="68"/>
      <c r="D198" s="68"/>
      <c r="E198" s="69"/>
      <c r="F198" s="70"/>
      <c r="G198" s="71"/>
      <c r="H198" s="52"/>
      <c r="I198" s="72"/>
      <c r="J198" s="73"/>
      <c r="K198" s="67"/>
      <c r="L198" s="74"/>
    </row>
    <row r="199" spans="1:12" ht="24" customHeight="1" x14ac:dyDescent="0.35">
      <c r="A199" s="66" t="str">
        <f t="shared" ref="A199:A213" si="3">IF($D199="","",ROW()-6)</f>
        <v/>
      </c>
      <c r="B199" s="67"/>
      <c r="C199" s="68"/>
      <c r="D199" s="68"/>
      <c r="E199" s="69"/>
      <c r="F199" s="70"/>
      <c r="G199" s="71"/>
      <c r="H199" s="52"/>
      <c r="I199" s="72"/>
      <c r="J199" s="73"/>
      <c r="K199" s="67"/>
      <c r="L199" s="74"/>
    </row>
    <row r="200" spans="1:12" ht="24" customHeight="1" x14ac:dyDescent="0.35">
      <c r="A200" s="66" t="str">
        <f t="shared" si="3"/>
        <v/>
      </c>
      <c r="B200" s="67"/>
      <c r="C200" s="68"/>
      <c r="D200" s="68"/>
      <c r="E200" s="69"/>
      <c r="F200" s="70"/>
      <c r="G200" s="71"/>
      <c r="H200" s="52"/>
      <c r="I200" s="72"/>
      <c r="J200" s="73"/>
      <c r="K200" s="67"/>
      <c r="L200" s="74"/>
    </row>
    <row r="201" spans="1:12" ht="24" customHeight="1" x14ac:dyDescent="0.35">
      <c r="A201" s="66" t="str">
        <f t="shared" si="3"/>
        <v/>
      </c>
      <c r="B201" s="67"/>
      <c r="C201" s="68"/>
      <c r="D201" s="68"/>
      <c r="E201" s="69"/>
      <c r="F201" s="70"/>
      <c r="G201" s="71"/>
      <c r="H201" s="52"/>
      <c r="I201" s="72"/>
      <c r="J201" s="73"/>
      <c r="K201" s="67"/>
      <c r="L201" s="74"/>
    </row>
    <row r="202" spans="1:12" ht="24" customHeight="1" x14ac:dyDescent="0.35">
      <c r="A202" s="66" t="str">
        <f t="shared" si="3"/>
        <v/>
      </c>
      <c r="B202" s="67"/>
      <c r="C202" s="68"/>
      <c r="D202" s="68"/>
      <c r="E202" s="69"/>
      <c r="F202" s="70"/>
      <c r="G202" s="71"/>
      <c r="H202" s="52"/>
      <c r="I202" s="72"/>
      <c r="J202" s="73"/>
      <c r="K202" s="67"/>
      <c r="L202" s="74"/>
    </row>
    <row r="203" spans="1:12" ht="24" customHeight="1" x14ac:dyDescent="0.35">
      <c r="A203" s="66" t="str">
        <f t="shared" si="3"/>
        <v/>
      </c>
      <c r="B203" s="67"/>
      <c r="C203" s="68"/>
      <c r="D203" s="68"/>
      <c r="E203" s="69"/>
      <c r="F203" s="70"/>
      <c r="G203" s="71"/>
      <c r="H203" s="52"/>
      <c r="I203" s="72"/>
      <c r="J203" s="73"/>
      <c r="K203" s="67"/>
      <c r="L203" s="74"/>
    </row>
    <row r="204" spans="1:12" ht="24" customHeight="1" x14ac:dyDescent="0.35">
      <c r="A204" s="66" t="str">
        <f t="shared" si="3"/>
        <v/>
      </c>
      <c r="B204" s="67"/>
      <c r="C204" s="68"/>
      <c r="D204" s="68"/>
      <c r="E204" s="69"/>
      <c r="F204" s="70"/>
      <c r="G204" s="71"/>
      <c r="H204" s="52"/>
      <c r="I204" s="72"/>
      <c r="J204" s="73"/>
      <c r="K204" s="67"/>
      <c r="L204" s="74"/>
    </row>
    <row r="205" spans="1:12" ht="24" customHeight="1" x14ac:dyDescent="0.35">
      <c r="A205" s="66" t="str">
        <f t="shared" si="3"/>
        <v/>
      </c>
      <c r="B205" s="67"/>
      <c r="C205" s="68"/>
      <c r="D205" s="68"/>
      <c r="E205" s="69"/>
      <c r="F205" s="70"/>
      <c r="G205" s="71"/>
      <c r="H205" s="52"/>
      <c r="I205" s="72"/>
      <c r="J205" s="73"/>
      <c r="K205" s="67"/>
      <c r="L205" s="74"/>
    </row>
    <row r="206" spans="1:12" ht="24" customHeight="1" x14ac:dyDescent="0.35">
      <c r="A206" s="66" t="str">
        <f t="shared" si="3"/>
        <v/>
      </c>
      <c r="B206" s="67"/>
      <c r="C206" s="68"/>
      <c r="D206" s="68"/>
      <c r="E206" s="69"/>
      <c r="F206" s="70"/>
      <c r="G206" s="71"/>
      <c r="H206" s="52"/>
      <c r="I206" s="72"/>
      <c r="J206" s="73"/>
      <c r="K206" s="67"/>
      <c r="L206" s="74"/>
    </row>
    <row r="207" spans="1:12" ht="24" customHeight="1" x14ac:dyDescent="0.35">
      <c r="A207" s="66" t="str">
        <f t="shared" si="3"/>
        <v/>
      </c>
      <c r="B207" s="67"/>
      <c r="C207" s="68"/>
      <c r="D207" s="68"/>
      <c r="E207" s="69"/>
      <c r="F207" s="70"/>
      <c r="G207" s="71"/>
      <c r="H207" s="52"/>
      <c r="I207" s="72"/>
      <c r="J207" s="73"/>
      <c r="K207" s="67"/>
      <c r="L207" s="74"/>
    </row>
    <row r="208" spans="1:12" ht="24" customHeight="1" x14ac:dyDescent="0.35">
      <c r="A208" s="66" t="str">
        <f t="shared" si="3"/>
        <v/>
      </c>
      <c r="B208" s="67"/>
      <c r="C208" s="68"/>
      <c r="D208" s="68"/>
      <c r="E208" s="69"/>
      <c r="F208" s="70"/>
      <c r="G208" s="71"/>
      <c r="H208" s="52"/>
      <c r="I208" s="72"/>
      <c r="J208" s="73"/>
      <c r="K208" s="67"/>
      <c r="L208" s="74"/>
    </row>
    <row r="209" spans="1:12" ht="24" customHeight="1" x14ac:dyDescent="0.35">
      <c r="A209" s="66" t="str">
        <f t="shared" si="3"/>
        <v/>
      </c>
      <c r="B209" s="67"/>
      <c r="C209" s="68"/>
      <c r="D209" s="68"/>
      <c r="E209" s="69"/>
      <c r="F209" s="70"/>
      <c r="G209" s="71"/>
      <c r="H209" s="52"/>
      <c r="I209" s="72"/>
      <c r="J209" s="73"/>
      <c r="K209" s="67"/>
      <c r="L209" s="74"/>
    </row>
    <row r="210" spans="1:12" ht="24" customHeight="1" x14ac:dyDescent="0.35">
      <c r="A210" s="66" t="str">
        <f t="shared" si="3"/>
        <v/>
      </c>
      <c r="B210" s="67"/>
      <c r="C210" s="68"/>
      <c r="D210" s="68"/>
      <c r="E210" s="69"/>
      <c r="F210" s="70"/>
      <c r="G210" s="71"/>
      <c r="H210" s="52"/>
      <c r="I210" s="72"/>
      <c r="J210" s="73"/>
      <c r="K210" s="67"/>
      <c r="L210" s="74"/>
    </row>
    <row r="211" spans="1:12" ht="24" customHeight="1" x14ac:dyDescent="0.35">
      <c r="A211" s="66" t="str">
        <f t="shared" si="3"/>
        <v/>
      </c>
      <c r="B211" s="67"/>
      <c r="C211" s="68"/>
      <c r="D211" s="68"/>
      <c r="E211" s="69"/>
      <c r="F211" s="70"/>
      <c r="G211" s="71"/>
      <c r="H211" s="52"/>
      <c r="I211" s="72"/>
      <c r="J211" s="73"/>
      <c r="K211" s="67"/>
      <c r="L211" s="74"/>
    </row>
    <row r="212" spans="1:12" ht="24" customHeight="1" x14ac:dyDescent="0.35">
      <c r="A212" s="66" t="str">
        <f t="shared" si="3"/>
        <v/>
      </c>
      <c r="B212" s="67"/>
      <c r="C212" s="68"/>
      <c r="D212" s="68"/>
      <c r="E212" s="69"/>
      <c r="F212" s="70"/>
      <c r="G212" s="71"/>
      <c r="H212" s="52"/>
      <c r="I212" s="72"/>
      <c r="J212" s="73"/>
      <c r="K212" s="67"/>
      <c r="L212" s="74"/>
    </row>
    <row r="213" spans="1:12" ht="24" customHeight="1" x14ac:dyDescent="0.35">
      <c r="A213" s="66" t="str">
        <f t="shared" si="3"/>
        <v/>
      </c>
      <c r="B213" s="67"/>
      <c r="C213" s="68"/>
      <c r="D213" s="68"/>
      <c r="E213" s="69"/>
      <c r="F213" s="70"/>
      <c r="G213" s="71"/>
      <c r="H213" s="52"/>
      <c r="I213" s="72"/>
      <c r="J213" s="73"/>
      <c r="K213" s="67"/>
      <c r="L213" s="74"/>
    </row>
    <row r="214" spans="1:12" ht="31.5" customHeight="1" x14ac:dyDescent="0.35">
      <c r="A214" s="130" t="s">
        <v>140</v>
      </c>
      <c r="B214" s="130"/>
      <c r="C214" s="130"/>
      <c r="D214" s="130"/>
      <c r="E214" s="130"/>
      <c r="F214" s="130"/>
      <c r="G214" s="130"/>
      <c r="H214" s="130"/>
      <c r="I214" s="130"/>
      <c r="J214" s="130"/>
      <c r="K214" s="130"/>
      <c r="L214" s="130"/>
    </row>
    <row r="215" spans="1:12" ht="21" customHeight="1" x14ac:dyDescent="0.35"/>
    <row r="216" spans="1:12" ht="21" customHeight="1" x14ac:dyDescent="0.35"/>
    <row r="217" spans="1:12" ht="21" customHeight="1" x14ac:dyDescent="0.35"/>
    <row r="218" spans="1:12" ht="21" customHeight="1" x14ac:dyDescent="0.35"/>
    <row r="219" spans="1:12" ht="21" customHeight="1" x14ac:dyDescent="0.35"/>
    <row r="220" spans="1:12" ht="21" customHeight="1" x14ac:dyDescent="0.35"/>
    <row r="221" spans="1:12" ht="21" customHeight="1" x14ac:dyDescent="0.35"/>
    <row r="222" spans="1:12" ht="21" customHeight="1" x14ac:dyDescent="0.35"/>
    <row r="223" spans="1:12" ht="21" customHeight="1" x14ac:dyDescent="0.35"/>
    <row r="224" spans="1:12" ht="21" customHeight="1" x14ac:dyDescent="0.35"/>
    <row r="225" ht="21" customHeight="1" x14ac:dyDescent="0.35"/>
    <row r="226" ht="21" customHeight="1" x14ac:dyDescent="0.35"/>
    <row r="227" ht="21" customHeight="1" x14ac:dyDescent="0.35"/>
    <row r="228" ht="21" customHeight="1" x14ac:dyDescent="0.35"/>
    <row r="229" ht="21" customHeight="1" x14ac:dyDescent="0.35"/>
    <row r="230" ht="21" customHeight="1" x14ac:dyDescent="0.35"/>
    <row r="231" ht="21" customHeight="1" x14ac:dyDescent="0.35"/>
    <row r="232" ht="21" customHeight="1" x14ac:dyDescent="0.35"/>
    <row r="233" ht="21" customHeight="1" x14ac:dyDescent="0.35"/>
    <row r="234" ht="21" customHeight="1" x14ac:dyDescent="0.35"/>
    <row r="235" ht="21" customHeight="1" x14ac:dyDescent="0.35"/>
    <row r="236" ht="21" customHeight="1" x14ac:dyDescent="0.35"/>
    <row r="237" ht="21" customHeight="1" x14ac:dyDescent="0.35"/>
    <row r="238" ht="21" customHeight="1" x14ac:dyDescent="0.35"/>
    <row r="239" ht="21" customHeight="1" x14ac:dyDescent="0.35"/>
    <row r="240" ht="21" customHeight="1" x14ac:dyDescent="0.35"/>
    <row r="241" ht="21" customHeight="1" x14ac:dyDescent="0.35"/>
    <row r="242" ht="21" customHeight="1" x14ac:dyDescent="0.35"/>
    <row r="243" ht="21" customHeight="1" x14ac:dyDescent="0.35"/>
    <row r="244" ht="21" customHeight="1" x14ac:dyDescent="0.35"/>
    <row r="245" ht="21" customHeight="1" x14ac:dyDescent="0.35"/>
    <row r="246" ht="21" customHeight="1" x14ac:dyDescent="0.35"/>
    <row r="247" ht="21" customHeight="1" x14ac:dyDescent="0.35"/>
    <row r="248" ht="21" customHeight="1" x14ac:dyDescent="0.35"/>
    <row r="249" ht="21" customHeight="1" x14ac:dyDescent="0.35"/>
  </sheetData>
  <sheetProtection password="DF04" sheet="1"/>
  <autoFilter ref="A6:L6" xr:uid="{00000000-0009-0000-0000-000003000000}"/>
  <mergeCells count="16">
    <mergeCell ref="K5:L5"/>
    <mergeCell ref="A214:L214"/>
    <mergeCell ref="A5:B5"/>
    <mergeCell ref="C5:D5"/>
    <mergeCell ref="E5:F5"/>
    <mergeCell ref="G5:H5"/>
    <mergeCell ref="I5:J5"/>
    <mergeCell ref="A1:L1"/>
    <mergeCell ref="A2:L2"/>
    <mergeCell ref="A3:L3"/>
    <mergeCell ref="A4:B4"/>
    <mergeCell ref="C4:D4"/>
    <mergeCell ref="E4:F4"/>
    <mergeCell ref="G4:H4"/>
    <mergeCell ref="I4:J4"/>
    <mergeCell ref="K4:L4"/>
  </mergeCells>
  <conditionalFormatting sqref="A7:L213">
    <cfRule type="expression" dxfId="1" priority="3">
      <formula>AND($L7="No",$K7=TODAY(),$K7&lt;&gt;"")</formula>
    </cfRule>
  </conditionalFormatting>
  <conditionalFormatting sqref="K7:K213">
    <cfRule type="expression" dxfId="0" priority="2">
      <formula>AND($L7="No",$K7&lt;TODAY(),$K7&lt;&gt;"")</formula>
    </cfRule>
  </conditionalFormatting>
  <dataValidations count="4">
    <dataValidation type="list" promptTitle="Contact Method" sqref="E7:E213" xr:uid="{00000000-0002-0000-0300-000000000000}">
      <formula1>"Call,WhatsApp,Email,Meeting,Site Visit,Video Call,Other"</formula1>
      <formula2>0</formula2>
    </dataValidation>
    <dataValidation type="list" sqref="G7:G213" xr:uid="{00000000-0002-0000-0300-000001000000}">
      <formula1>"Prospecting,Discovery,Qualified,Proposal,Negotiation,Closed-Won,Closed-Lost"</formula1>
      <formula2>0</formula2>
    </dataValidation>
    <dataValidation type="list" sqref="L7:L213" xr:uid="{00000000-0002-0000-0300-000002000000}">
      <formula1>"Yes,No,Pending"</formula1>
      <formula2>0</formula2>
    </dataValidation>
    <dataValidation type="list" showInputMessage="1" promptTitle="Client Name" prompt="Type a letter then select from the dropdown list ▼" sqref="D7:D300" xr:uid="{00000000-0002-0000-0300-000003000000}">
      <formula1>"Damaris,Kess,Suzzy Donntwi,Sly Tetteh,Ernest Arthur,Isaac Asare,Amanda,Sharon,Coach Kay,Kwao Quaye,Mr. James,Serwa,Mr. Effah Lawson,Joel Client,Samuel,Enoch,Yaw Boateng,Wisdom Nana,King Germany,Marvin,Mr. James II"</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9"/>
  <sheetViews>
    <sheetView showGridLines="0" topLeftCell="A22" zoomScale="90" zoomScaleNormal="90" workbookViewId="0">
      <selection sqref="A1:G1"/>
    </sheetView>
  </sheetViews>
  <sheetFormatPr defaultColWidth="8.6328125" defaultRowHeight="14.5" x14ac:dyDescent="0.35"/>
  <cols>
    <col min="1" max="1" width="16" customWidth="1"/>
    <col min="2" max="7" width="14" customWidth="1"/>
  </cols>
  <sheetData>
    <row r="1" spans="1:7" ht="39.75" customHeight="1" x14ac:dyDescent="0.35">
      <c r="A1" s="120" t="s">
        <v>141</v>
      </c>
      <c r="B1" s="120"/>
      <c r="C1" s="120"/>
      <c r="D1" s="120"/>
      <c r="E1" s="120"/>
      <c r="F1" s="120"/>
      <c r="G1" s="120"/>
    </row>
    <row r="2" spans="1:7" ht="15.75" customHeight="1" x14ac:dyDescent="0.35">
      <c r="A2" s="121" t="s">
        <v>142</v>
      </c>
      <c r="B2" s="121"/>
      <c r="C2" s="121"/>
      <c r="D2" s="121"/>
      <c r="E2" s="121"/>
      <c r="F2" s="121"/>
      <c r="G2" s="121"/>
    </row>
    <row r="3" spans="1:7" ht="4.5" customHeight="1" x14ac:dyDescent="0.35">
      <c r="A3" s="122"/>
      <c r="B3" s="122"/>
      <c r="C3" s="122"/>
      <c r="D3" s="122"/>
      <c r="E3" s="122"/>
      <c r="F3" s="122"/>
      <c r="G3" s="122"/>
    </row>
    <row r="4" spans="1:7" ht="30" customHeight="1" x14ac:dyDescent="0.35">
      <c r="A4" s="197" t="s">
        <v>143</v>
      </c>
      <c r="B4" s="197"/>
      <c r="C4" s="197"/>
      <c r="D4" s="197"/>
      <c r="E4" s="197"/>
      <c r="F4" s="197"/>
      <c r="G4" s="197"/>
    </row>
    <row r="5" spans="1:7" ht="30" customHeight="1" x14ac:dyDescent="0.35">
      <c r="A5" s="75" t="s">
        <v>144</v>
      </c>
      <c r="B5" s="76" t="s">
        <v>29</v>
      </c>
      <c r="C5" s="76" t="s">
        <v>26</v>
      </c>
      <c r="D5" s="77" t="s">
        <v>145</v>
      </c>
      <c r="E5" s="78" t="s">
        <v>146</v>
      </c>
      <c r="F5" s="75" t="s">
        <v>147</v>
      </c>
      <c r="G5" s="79" t="s">
        <v>148</v>
      </c>
    </row>
    <row r="6" spans="1:7" ht="21.75" customHeight="1" x14ac:dyDescent="0.35">
      <c r="A6" s="80" t="s">
        <v>149</v>
      </c>
      <c r="B6" s="81">
        <v>195000</v>
      </c>
      <c r="C6" s="82">
        <v>175000</v>
      </c>
      <c r="D6" s="18">
        <v>0</v>
      </c>
      <c r="E6" s="83">
        <v>195000</v>
      </c>
      <c r="F6" s="84">
        <v>5</v>
      </c>
      <c r="G6" s="85">
        <v>0</v>
      </c>
    </row>
    <row r="7" spans="1:7" ht="21.75" customHeight="1" x14ac:dyDescent="0.35">
      <c r="A7" s="80" t="s">
        <v>150</v>
      </c>
      <c r="B7" s="81">
        <v>295000</v>
      </c>
      <c r="C7" s="82">
        <v>265000</v>
      </c>
      <c r="D7" s="18">
        <v>0</v>
      </c>
      <c r="E7" s="83">
        <v>295000</v>
      </c>
      <c r="F7" s="84">
        <v>8</v>
      </c>
      <c r="G7" s="85">
        <v>0</v>
      </c>
    </row>
    <row r="8" spans="1:7" ht="21.75" customHeight="1" x14ac:dyDescent="0.35">
      <c r="A8" s="80" t="s">
        <v>151</v>
      </c>
      <c r="B8" s="81">
        <v>455000</v>
      </c>
      <c r="C8" s="82">
        <v>410000</v>
      </c>
      <c r="D8" s="18">
        <v>11000</v>
      </c>
      <c r="E8" s="83">
        <v>444000</v>
      </c>
      <c r="F8" s="84">
        <v>12</v>
      </c>
      <c r="G8" s="85">
        <v>0</v>
      </c>
    </row>
    <row r="9" spans="1:7" ht="21.75" customHeight="1" x14ac:dyDescent="0.35">
      <c r="A9" s="86" t="s">
        <v>152</v>
      </c>
      <c r="B9" s="12">
        <f>IFERROR(SUM('💼 Pipeline'!N8:N28),0)</f>
        <v>694500</v>
      </c>
      <c r="C9" s="87">
        <f>IFERROR(SUM('💼 Pipeline'!K8:K28),0)</f>
        <v>660000</v>
      </c>
      <c r="D9" s="50">
        <f>IFERROR(SUM('💼 Pipeline'!Q8:Q28),0)</f>
        <v>0</v>
      </c>
      <c r="E9" s="19">
        <f>IFERROR(SUM('💼 Pipeline'!R8:R28),0)</f>
        <v>694500</v>
      </c>
      <c r="F9" s="88">
        <f>COUNTA('💼 Pipeline'!B8:B28)</f>
        <v>9</v>
      </c>
      <c r="G9" s="89">
        <f>COUNTIF('🎯 Monthly Close'!J8:J21,"Closed-Won")</f>
        <v>0</v>
      </c>
    </row>
    <row r="10" spans="1:7" ht="21.75" customHeight="1" x14ac:dyDescent="0.35">
      <c r="A10" s="90" t="s">
        <v>153</v>
      </c>
      <c r="B10" s="91">
        <f>IFERROR(SUM('💼 Pipeline'!N52:N91),0)</f>
        <v>0</v>
      </c>
      <c r="C10" s="82">
        <f>IFERROR(SUM('💼 Pipeline'!K52:K91),0)</f>
        <v>0</v>
      </c>
      <c r="D10" s="18">
        <f>IFERROR(SUM('💼 Pipeline'!Q52:Q91),0)</f>
        <v>0</v>
      </c>
      <c r="E10" s="83">
        <f>IFERROR(SUM('💼 Pipeline'!R52:R91),0)</f>
        <v>0</v>
      </c>
      <c r="F10" s="84">
        <f>COUNTA('💼 Pipeline'!B52:B91)</f>
        <v>0</v>
      </c>
      <c r="G10" s="85"/>
    </row>
    <row r="11" spans="1:7" ht="21.75" customHeight="1" x14ac:dyDescent="0.35">
      <c r="A11" s="80" t="s">
        <v>154</v>
      </c>
      <c r="B11" s="92"/>
      <c r="C11" s="92"/>
      <c r="D11" s="92"/>
      <c r="E11" s="92"/>
      <c r="F11" s="68"/>
      <c r="G11" s="68"/>
    </row>
    <row r="12" spans="1:7" ht="21.75" customHeight="1" x14ac:dyDescent="0.35">
      <c r="A12" s="80" t="s">
        <v>155</v>
      </c>
      <c r="B12" s="92"/>
      <c r="C12" s="92"/>
      <c r="D12" s="92"/>
      <c r="E12" s="92"/>
      <c r="F12" s="68"/>
      <c r="G12" s="68"/>
    </row>
    <row r="13" spans="1:7" ht="21.75" customHeight="1" x14ac:dyDescent="0.35">
      <c r="A13" s="80" t="s">
        <v>156</v>
      </c>
      <c r="B13" s="92"/>
      <c r="C13" s="92"/>
      <c r="D13" s="92"/>
      <c r="E13" s="92"/>
      <c r="F13" s="68"/>
      <c r="G13" s="68"/>
    </row>
    <row r="14" spans="1:7" ht="21.75" customHeight="1" x14ac:dyDescent="0.35">
      <c r="A14" s="80" t="s">
        <v>157</v>
      </c>
      <c r="B14" s="92"/>
      <c r="C14" s="92"/>
      <c r="D14" s="92"/>
      <c r="E14" s="92"/>
      <c r="F14" s="68"/>
      <c r="G14" s="68"/>
    </row>
    <row r="15" spans="1:7" ht="21.75" customHeight="1" x14ac:dyDescent="0.35">
      <c r="A15" s="80" t="s">
        <v>158</v>
      </c>
      <c r="B15" s="92"/>
      <c r="C15" s="92"/>
      <c r="D15" s="92"/>
      <c r="E15" s="92"/>
      <c r="F15" s="68"/>
      <c r="G15" s="68"/>
    </row>
    <row r="16" spans="1:7" ht="21.75" customHeight="1" x14ac:dyDescent="0.35">
      <c r="A16" s="80" t="s">
        <v>159</v>
      </c>
      <c r="B16" s="92"/>
      <c r="C16" s="92"/>
      <c r="D16" s="92"/>
      <c r="E16" s="92"/>
      <c r="F16" s="68"/>
      <c r="G16" s="68"/>
    </row>
    <row r="17" spans="1:7" ht="21.75" customHeight="1" x14ac:dyDescent="0.35">
      <c r="A17" s="80" t="s">
        <v>160</v>
      </c>
      <c r="B17" s="92"/>
      <c r="C17" s="92"/>
      <c r="D17" s="92"/>
      <c r="E17" s="92"/>
      <c r="F17" s="68"/>
      <c r="G17" s="68"/>
    </row>
    <row r="18" spans="1:7" ht="21" customHeight="1" x14ac:dyDescent="0.35"/>
    <row r="19" spans="1:7" ht="27.75" customHeight="1" x14ac:dyDescent="0.35">
      <c r="A19" s="198" t="s">
        <v>161</v>
      </c>
      <c r="B19" s="198"/>
      <c r="C19" s="198"/>
      <c r="D19" s="198"/>
      <c r="E19" s="198"/>
      <c r="F19" s="198"/>
      <c r="G19" s="198"/>
    </row>
    <row r="20" spans="1:7" ht="21" customHeight="1" x14ac:dyDescent="0.35"/>
    <row r="21" spans="1:7" ht="19.5" customHeight="1" x14ac:dyDescent="0.35"/>
    <row r="22" spans="1:7" ht="21" customHeight="1" x14ac:dyDescent="0.35"/>
    <row r="23" spans="1:7" ht="21" customHeight="1" x14ac:dyDescent="0.35"/>
    <row r="24" spans="1:7" ht="21" customHeight="1" x14ac:dyDescent="0.35"/>
    <row r="25" spans="1:7" ht="21" customHeight="1" x14ac:dyDescent="0.35"/>
    <row r="26" spans="1:7" ht="21" customHeight="1" x14ac:dyDescent="0.35"/>
    <row r="27" spans="1:7" ht="21" customHeight="1" x14ac:dyDescent="0.35"/>
    <row r="28" spans="1:7" ht="21" customHeight="1" x14ac:dyDescent="0.35"/>
    <row r="29" spans="1:7" ht="21" customHeight="1" x14ac:dyDescent="0.35"/>
    <row r="30" spans="1:7" ht="21" customHeight="1" x14ac:dyDescent="0.35"/>
    <row r="31" spans="1:7" ht="21" customHeight="1" x14ac:dyDescent="0.35"/>
    <row r="32" spans="1:7" ht="21" customHeight="1" x14ac:dyDescent="0.35"/>
    <row r="33" ht="21" customHeight="1" x14ac:dyDescent="0.35"/>
    <row r="34" ht="21" customHeight="1" x14ac:dyDescent="0.35"/>
    <row r="35" ht="21" customHeight="1" x14ac:dyDescent="0.35"/>
    <row r="36" ht="21" customHeight="1" x14ac:dyDescent="0.35"/>
    <row r="37" ht="21" customHeight="1" x14ac:dyDescent="0.35"/>
    <row r="38" ht="21" customHeight="1" x14ac:dyDescent="0.35"/>
    <row r="39" ht="21" customHeight="1" x14ac:dyDescent="0.35"/>
  </sheetData>
  <sheetProtection password="DF04" sheet="1"/>
  <mergeCells count="5">
    <mergeCell ref="A1:G1"/>
    <mergeCell ref="A2:G2"/>
    <mergeCell ref="A3:G3"/>
    <mergeCell ref="A4:G4"/>
    <mergeCell ref="A19:G19"/>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0"/>
  <sheetViews>
    <sheetView showGridLines="0" topLeftCell="A41" zoomScaleNormal="100" workbookViewId="0">
      <selection activeCell="A50" sqref="A50"/>
    </sheetView>
  </sheetViews>
  <sheetFormatPr defaultColWidth="8.6328125" defaultRowHeight="14.5" x14ac:dyDescent="0.35"/>
  <cols>
    <col min="1" max="1" width="26" customWidth="1"/>
    <col min="2" max="2" width="16" customWidth="1"/>
    <col min="3" max="3" width="18" customWidth="1"/>
    <col min="4" max="4" width="16" customWidth="1"/>
    <col min="5" max="5" width="9" customWidth="1"/>
    <col min="6" max="6" width="32" customWidth="1"/>
  </cols>
  <sheetData>
    <row r="1" spans="1:7" ht="36" customHeight="1" x14ac:dyDescent="0.35">
      <c r="A1" s="120" t="s">
        <v>162</v>
      </c>
      <c r="B1" s="120"/>
      <c r="C1" s="120"/>
      <c r="D1" s="120"/>
      <c r="E1" s="120"/>
      <c r="F1" s="120"/>
      <c r="G1" s="120"/>
    </row>
    <row r="2" spans="1:7" ht="15.75" customHeight="1" x14ac:dyDescent="0.35">
      <c r="A2" s="121" t="s">
        <v>163</v>
      </c>
      <c r="B2" s="121"/>
      <c r="C2" s="121"/>
      <c r="D2" s="121"/>
      <c r="E2" s="121"/>
      <c r="F2" s="121"/>
      <c r="G2" s="121"/>
    </row>
    <row r="3" spans="1:7" ht="3.75" customHeight="1" x14ac:dyDescent="0.35">
      <c r="A3" s="122"/>
      <c r="B3" s="122"/>
      <c r="C3" s="122"/>
      <c r="D3" s="122"/>
      <c r="E3" s="122"/>
      <c r="F3" s="122"/>
      <c r="G3" s="122"/>
    </row>
    <row r="4" spans="1:7" ht="19.5" customHeight="1" x14ac:dyDescent="0.35">
      <c r="A4" s="199" t="s">
        <v>164</v>
      </c>
      <c r="B4" s="199"/>
      <c r="C4" s="199"/>
      <c r="D4" s="199"/>
      <c r="E4" s="199"/>
      <c r="F4" s="199"/>
      <c r="G4" s="199"/>
    </row>
    <row r="5" spans="1:7" ht="19.5" customHeight="1" x14ac:dyDescent="0.35">
      <c r="A5" s="1" t="s">
        <v>21</v>
      </c>
      <c r="B5" s="1" t="s">
        <v>165</v>
      </c>
      <c r="C5" s="1" t="s">
        <v>166</v>
      </c>
      <c r="D5" s="1" t="s">
        <v>167</v>
      </c>
      <c r="E5" s="1" t="s">
        <v>168</v>
      </c>
      <c r="F5" s="1" t="s">
        <v>35</v>
      </c>
    </row>
    <row r="6" spans="1:7" ht="21.75" customHeight="1" x14ac:dyDescent="0.35">
      <c r="A6" s="93" t="s">
        <v>43</v>
      </c>
      <c r="B6" s="94">
        <v>48000</v>
      </c>
      <c r="C6" s="95">
        <v>8000</v>
      </c>
      <c r="D6" s="12">
        <f>B6-C6</f>
        <v>40000</v>
      </c>
      <c r="E6" s="96">
        <v>1</v>
      </c>
      <c r="F6" s="97" t="s">
        <v>169</v>
      </c>
    </row>
    <row r="7" spans="1:7" ht="21.75" customHeight="1" x14ac:dyDescent="0.35">
      <c r="A7" s="98" t="s">
        <v>38</v>
      </c>
      <c r="B7" s="94">
        <v>26500</v>
      </c>
      <c r="C7" s="95">
        <v>6500</v>
      </c>
      <c r="D7" s="99">
        <f>B7-C7</f>
        <v>20000</v>
      </c>
      <c r="E7" s="96">
        <v>0.5</v>
      </c>
      <c r="F7" s="97" t="s">
        <v>170</v>
      </c>
    </row>
    <row r="8" spans="1:7" ht="3.75" customHeight="1" x14ac:dyDescent="0.35">
      <c r="A8" s="122"/>
      <c r="B8" s="122"/>
      <c r="C8" s="122"/>
      <c r="D8" s="122"/>
      <c r="E8" s="122"/>
      <c r="F8" s="122"/>
      <c r="G8" s="122"/>
    </row>
    <row r="9" spans="1:7" ht="19.5" customHeight="1" x14ac:dyDescent="0.35">
      <c r="A9" s="200" t="s">
        <v>171</v>
      </c>
      <c r="B9" s="200"/>
      <c r="C9" s="200"/>
      <c r="D9" s="200"/>
      <c r="E9" s="200"/>
      <c r="F9" s="200"/>
      <c r="G9" s="200"/>
    </row>
    <row r="10" spans="1:7" ht="19.5" customHeight="1" x14ac:dyDescent="0.35">
      <c r="A10" s="1" t="s">
        <v>172</v>
      </c>
      <c r="B10" s="1" t="s">
        <v>173</v>
      </c>
      <c r="C10" s="1"/>
      <c r="D10" s="1"/>
      <c r="E10" s="1"/>
      <c r="F10" s="1" t="s">
        <v>35</v>
      </c>
    </row>
    <row r="11" spans="1:7" ht="19.5" customHeight="1" x14ac:dyDescent="0.35">
      <c r="A11" s="100" t="s">
        <v>39</v>
      </c>
      <c r="B11" s="94">
        <v>750</v>
      </c>
      <c r="C11" s="201" t="s">
        <v>174</v>
      </c>
      <c r="D11" s="201"/>
      <c r="E11" s="201"/>
      <c r="F11" s="201"/>
      <c r="G11" s="201"/>
    </row>
    <row r="12" spans="1:7" ht="19.5" customHeight="1" x14ac:dyDescent="0.35">
      <c r="A12" s="100" t="s">
        <v>44</v>
      </c>
      <c r="B12" s="94">
        <v>1500</v>
      </c>
      <c r="C12" s="202" t="s">
        <v>175</v>
      </c>
      <c r="D12" s="202"/>
      <c r="E12" s="202"/>
      <c r="F12" s="202"/>
      <c r="G12" s="202"/>
    </row>
    <row r="13" spans="1:7" ht="19.5" customHeight="1" x14ac:dyDescent="0.35">
      <c r="A13" s="100" t="s">
        <v>62</v>
      </c>
      <c r="B13" s="94">
        <v>2250</v>
      </c>
      <c r="C13" s="201" t="s">
        <v>176</v>
      </c>
      <c r="D13" s="201"/>
      <c r="E13" s="201"/>
      <c r="F13" s="201"/>
      <c r="G13" s="201"/>
    </row>
    <row r="14" spans="1:7" ht="19.5" customHeight="1" x14ac:dyDescent="0.35">
      <c r="A14" s="100" t="s">
        <v>47</v>
      </c>
      <c r="B14" s="94">
        <v>3000</v>
      </c>
      <c r="C14" s="202" t="s">
        <v>177</v>
      </c>
      <c r="D14" s="202"/>
      <c r="E14" s="202"/>
      <c r="F14" s="202"/>
      <c r="G14" s="202"/>
    </row>
    <row r="15" spans="1:7" ht="3.75" customHeight="1" x14ac:dyDescent="0.35">
      <c r="A15" s="122"/>
      <c r="B15" s="122"/>
      <c r="C15" s="122"/>
      <c r="D15" s="122"/>
      <c r="E15" s="122"/>
      <c r="F15" s="122"/>
      <c r="G15" s="122"/>
    </row>
    <row r="16" spans="1:7" ht="19.5" customHeight="1" x14ac:dyDescent="0.35">
      <c r="A16" s="199" t="s">
        <v>178</v>
      </c>
      <c r="B16" s="199"/>
      <c r="C16" s="199"/>
      <c r="D16" s="199"/>
      <c r="E16" s="199"/>
      <c r="F16" s="199"/>
      <c r="G16" s="199"/>
    </row>
    <row r="17" spans="1:7" ht="19.5" customHeight="1" x14ac:dyDescent="0.35">
      <c r="A17" s="101" t="s">
        <v>179</v>
      </c>
      <c r="B17" s="203">
        <v>1</v>
      </c>
      <c r="C17" s="203"/>
      <c r="D17" s="203"/>
      <c r="E17" s="203"/>
      <c r="F17" s="204" t="s">
        <v>180</v>
      </c>
      <c r="G17" s="204"/>
    </row>
    <row r="18" spans="1:7" ht="19.5" customHeight="1" x14ac:dyDescent="0.35">
      <c r="A18" s="101" t="s">
        <v>181</v>
      </c>
      <c r="B18" s="203">
        <v>2</v>
      </c>
      <c r="C18" s="203"/>
      <c r="D18" s="203"/>
      <c r="E18" s="203"/>
      <c r="F18" s="204" t="s">
        <v>182</v>
      </c>
      <c r="G18" s="204"/>
    </row>
    <row r="19" spans="1:7" ht="19.5" customHeight="1" x14ac:dyDescent="0.35">
      <c r="A19" s="101" t="s">
        <v>183</v>
      </c>
      <c r="B19" s="205">
        <v>96000</v>
      </c>
      <c r="C19" s="205"/>
      <c r="D19" s="205"/>
      <c r="E19" s="205"/>
      <c r="F19" s="204" t="s">
        <v>184</v>
      </c>
      <c r="G19" s="204"/>
    </row>
    <row r="20" spans="1:7" ht="19.5" customHeight="1" x14ac:dyDescent="0.35">
      <c r="A20" s="101" t="s">
        <v>185</v>
      </c>
      <c r="B20" s="206" t="s">
        <v>186</v>
      </c>
      <c r="C20" s="206"/>
      <c r="D20" s="206"/>
      <c r="E20" s="206"/>
      <c r="F20" s="204"/>
      <c r="G20" s="204"/>
    </row>
    <row r="21" spans="1:7" ht="19.5" customHeight="1" x14ac:dyDescent="0.35">
      <c r="A21" s="101" t="s">
        <v>187</v>
      </c>
      <c r="B21" s="206" t="s">
        <v>188</v>
      </c>
      <c r="C21" s="206"/>
      <c r="D21" s="206"/>
      <c r="E21" s="206"/>
      <c r="F21" s="204"/>
      <c r="G21" s="204"/>
    </row>
    <row r="22" spans="1:7" ht="19.5" customHeight="1" x14ac:dyDescent="0.35">
      <c r="A22" s="101" t="s">
        <v>189</v>
      </c>
      <c r="B22" s="206" t="s">
        <v>190</v>
      </c>
      <c r="C22" s="206"/>
      <c r="D22" s="206"/>
      <c r="E22" s="206"/>
      <c r="F22" s="204"/>
      <c r="G22" s="204"/>
    </row>
    <row r="23" spans="1:7" ht="19.5" customHeight="1" x14ac:dyDescent="0.35">
      <c r="A23" s="101" t="s">
        <v>191</v>
      </c>
      <c r="B23" s="206" t="s">
        <v>192</v>
      </c>
      <c r="C23" s="206"/>
      <c r="D23" s="206"/>
      <c r="E23" s="206"/>
      <c r="F23" s="204"/>
      <c r="G23" s="204"/>
    </row>
    <row r="48" spans="1:7" ht="4.5" customHeight="1" x14ac:dyDescent="0.35">
      <c r="A48" s="122"/>
      <c r="B48" s="122"/>
      <c r="C48" s="122"/>
      <c r="D48" s="122"/>
      <c r="E48" s="122"/>
      <c r="F48" s="122"/>
      <c r="G48" s="122"/>
    </row>
    <row r="49" spans="1:7" ht="21.75" customHeight="1" x14ac:dyDescent="0.35">
      <c r="A49" s="199" t="s">
        <v>193</v>
      </c>
      <c r="B49" s="199"/>
      <c r="C49" s="199"/>
      <c r="D49" s="199"/>
      <c r="E49" s="199"/>
      <c r="F49" s="199"/>
      <c r="G49" s="199"/>
    </row>
    <row r="50" spans="1:7" ht="18" customHeight="1" x14ac:dyDescent="0.35">
      <c r="A50" s="102"/>
    </row>
    <row r="51" spans="1:7" ht="18" customHeight="1" x14ac:dyDescent="0.35">
      <c r="A51" s="102" t="s">
        <v>42</v>
      </c>
    </row>
    <row r="52" spans="1:7" ht="18" customHeight="1" x14ac:dyDescent="0.35">
      <c r="A52" s="102" t="s">
        <v>45</v>
      </c>
    </row>
    <row r="53" spans="1:7" ht="18" customHeight="1" x14ac:dyDescent="0.35">
      <c r="A53" s="102" t="s">
        <v>49</v>
      </c>
    </row>
    <row r="54" spans="1:7" ht="18" customHeight="1" x14ac:dyDescent="0.35">
      <c r="A54" s="102" t="s">
        <v>50</v>
      </c>
    </row>
    <row r="55" spans="1:7" ht="18" customHeight="1" x14ac:dyDescent="0.35">
      <c r="A55" s="102" t="s">
        <v>54</v>
      </c>
    </row>
    <row r="56" spans="1:7" ht="18" customHeight="1" x14ac:dyDescent="0.35">
      <c r="A56" s="102" t="s">
        <v>55</v>
      </c>
    </row>
    <row r="57" spans="1:7" ht="18" customHeight="1" x14ac:dyDescent="0.35">
      <c r="A57" s="102" t="s">
        <v>57</v>
      </c>
    </row>
    <row r="58" spans="1:7" ht="18" customHeight="1" x14ac:dyDescent="0.35">
      <c r="A58" s="102" t="s">
        <v>58</v>
      </c>
    </row>
    <row r="59" spans="1:7" ht="18" customHeight="1" x14ac:dyDescent="0.35">
      <c r="A59" s="102" t="s">
        <v>59</v>
      </c>
    </row>
    <row r="60" spans="1:7" ht="18" customHeight="1" x14ac:dyDescent="0.35">
      <c r="A60" s="102" t="s">
        <v>60</v>
      </c>
    </row>
    <row r="61" spans="1:7" ht="18" customHeight="1" x14ac:dyDescent="0.35">
      <c r="A61" s="102" t="s">
        <v>61</v>
      </c>
    </row>
    <row r="62" spans="1:7" ht="18" customHeight="1" x14ac:dyDescent="0.35">
      <c r="A62" s="102" t="s">
        <v>63</v>
      </c>
    </row>
    <row r="63" spans="1:7" ht="18" customHeight="1" x14ac:dyDescent="0.35">
      <c r="A63" s="102" t="s">
        <v>65</v>
      </c>
    </row>
    <row r="64" spans="1:7" ht="18" customHeight="1" x14ac:dyDescent="0.35">
      <c r="A64" s="102" t="s">
        <v>66</v>
      </c>
    </row>
    <row r="65" spans="1:1" ht="18" customHeight="1" x14ac:dyDescent="0.35">
      <c r="A65" s="102" t="s">
        <v>67</v>
      </c>
    </row>
    <row r="66" spans="1:1" ht="18" customHeight="1" x14ac:dyDescent="0.35">
      <c r="A66" s="102" t="s">
        <v>68</v>
      </c>
    </row>
    <row r="67" spans="1:1" ht="18" customHeight="1" x14ac:dyDescent="0.35">
      <c r="A67" s="102" t="s">
        <v>69</v>
      </c>
    </row>
    <row r="68" spans="1:1" ht="18" customHeight="1" x14ac:dyDescent="0.35">
      <c r="A68" s="102" t="s">
        <v>70</v>
      </c>
    </row>
    <row r="69" spans="1:1" ht="18" customHeight="1" x14ac:dyDescent="0.35">
      <c r="A69" s="102" t="s">
        <v>71</v>
      </c>
    </row>
    <row r="70" spans="1:1" ht="18" customHeight="1" x14ac:dyDescent="0.35">
      <c r="A70" s="102" t="s">
        <v>72</v>
      </c>
    </row>
  </sheetData>
  <mergeCells count="28">
    <mergeCell ref="A49:G49"/>
    <mergeCell ref="B22:E22"/>
    <mergeCell ref="F22:G22"/>
    <mergeCell ref="B23:E23"/>
    <mergeCell ref="F23:G23"/>
    <mergeCell ref="A48:G48"/>
    <mergeCell ref="B19:E19"/>
    <mergeCell ref="F19:G19"/>
    <mergeCell ref="B20:E20"/>
    <mergeCell ref="F20:G20"/>
    <mergeCell ref="B21:E21"/>
    <mergeCell ref="F21:G21"/>
    <mergeCell ref="A15:G15"/>
    <mergeCell ref="A16:G16"/>
    <mergeCell ref="B17:E17"/>
    <mergeCell ref="F17:G17"/>
    <mergeCell ref="B18:E18"/>
    <mergeCell ref="F18:G18"/>
    <mergeCell ref="A9:G9"/>
    <mergeCell ref="C11:G11"/>
    <mergeCell ref="C12:G12"/>
    <mergeCell ref="C13:G13"/>
    <mergeCell ref="C14:G14"/>
    <mergeCell ref="A1:G1"/>
    <mergeCell ref="A2:G2"/>
    <mergeCell ref="A3:G3"/>
    <mergeCell ref="A4:G4"/>
    <mergeCell ref="A8:G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 Pipeline</vt:lpstr>
      <vt:lpstr>📊 Dashboard</vt:lpstr>
      <vt:lpstr>🎯 Monthly Close</vt:lpstr>
      <vt:lpstr>📝 Activity Log</vt:lpstr>
      <vt:lpstr>📈 Trend</vt:lpstr>
      <vt:lpstr>⚙️ 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Elizabeth Misiame</cp:lastModifiedBy>
  <cp:revision>2</cp:revision>
  <dcterms:created xsi:type="dcterms:W3CDTF">2026-05-01T20:19:15Z</dcterms:created>
  <dcterms:modified xsi:type="dcterms:W3CDTF">2026-05-14T08:56:34Z</dcterms:modified>
  <dc:language>en-US</dc:language>
</cp:coreProperties>
</file>